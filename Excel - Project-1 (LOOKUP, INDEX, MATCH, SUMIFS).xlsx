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8_{7E0FE014-DF58-423C-A3AF-468C635EDE39}" xr6:coauthVersionLast="47" xr6:coauthVersionMax="47" xr10:uidLastSave="{00000000-0000-0000-0000-000000000000}"/>
  <bookViews>
    <workbookView xWindow="-108" yWindow="-108" windowWidth="23256" windowHeight="12456" xr2:uid="{00000000-000D-0000-FFFF-FFFF00000000}"/>
  </bookViews>
  <sheets>
    <sheet name="Customer Quote" sheetId="2" r:id="rId1"/>
    <sheet name="International Price List" sheetId="1" r:id="rId2"/>
    <sheet name="Discount Matrix" sheetId="3" r:id="rId3"/>
  </sheets>
  <definedNames>
    <definedName name="_xlnm._FilterDatabase" localSheetId="1" hidden="1">'International Price List'!$A$3:$E$1254</definedName>
    <definedName name="Customer_Categories">'Discount Matrix'!$C$4:$F$4</definedName>
    <definedName name="Discount_Categories">'Discount Matrix'!$B$5:$B$8</definedName>
    <definedName name="Discounts">'Discount Matrix'!$C$5:$F$8</definedName>
    <definedName name="Item_Code">'International Price List'!$A$4:$A$1254</definedName>
    <definedName name="Quote">'Customer Quote'!$E$11</definedName>
  </definedNames>
  <calcPr calcId="191029"/>
  <fileRecoveryPr autoRecover="0"/>
</workbook>
</file>

<file path=xl/calcChain.xml><?xml version="1.0" encoding="utf-8"?>
<calcChain xmlns="http://schemas.openxmlformats.org/spreadsheetml/2006/main">
  <c r="G4" i="2" l="1"/>
  <c r="I4" i="2"/>
  <c r="E4" i="1"/>
  <c r="G10" i="2"/>
  <c r="G8" i="2"/>
  <c r="E5" i="1"/>
  <c r="E1247" i="1"/>
  <c r="E7" i="1"/>
  <c r="G6" i="2" l="1"/>
  <c r="E11" i="3" l="1"/>
  <c r="E21" i="2" l="1"/>
  <c r="E28" i="2"/>
  <c r="E32" i="2"/>
  <c r="F4" i="2"/>
  <c r="E4" i="2"/>
  <c r="E7" i="2" s="1"/>
  <c r="E29" i="2" l="1"/>
  <c r="E17" i="2"/>
  <c r="E13" i="2"/>
  <c r="E33" i="2"/>
  <c r="E25" i="2"/>
  <c r="E9" i="2"/>
  <c r="G27" i="2"/>
  <c r="G19" i="2"/>
  <c r="G15" i="2"/>
  <c r="G7" i="2"/>
  <c r="E24" i="2"/>
  <c r="E16" i="2"/>
  <c r="E12" i="2"/>
  <c r="E8" i="2"/>
  <c r="G34" i="2"/>
  <c r="G30" i="2"/>
  <c r="G26" i="2"/>
  <c r="G22" i="2"/>
  <c r="G18" i="2"/>
  <c r="G14" i="2"/>
  <c r="G31" i="2"/>
  <c r="E20" i="2"/>
  <c r="E35" i="2"/>
  <c r="E31" i="2"/>
  <c r="E27" i="2"/>
  <c r="E23" i="2"/>
  <c r="E19" i="2"/>
  <c r="E15" i="2"/>
  <c r="E11" i="2"/>
  <c r="E6" i="2"/>
  <c r="G33" i="2"/>
  <c r="G29" i="2"/>
  <c r="G25" i="2"/>
  <c r="G21" i="2"/>
  <c r="G17" i="2"/>
  <c r="G13" i="2"/>
  <c r="G9" i="2"/>
  <c r="G35" i="2"/>
  <c r="G23" i="2"/>
  <c r="G11" i="2"/>
  <c r="E34" i="2"/>
  <c r="E30" i="2"/>
  <c r="E26" i="2"/>
  <c r="E22" i="2"/>
  <c r="E18" i="2"/>
  <c r="E14" i="2"/>
  <c r="E10" i="2"/>
  <c r="G32" i="2"/>
  <c r="G28" i="2"/>
  <c r="G24" i="2"/>
  <c r="G20" i="2"/>
  <c r="G16" i="2"/>
  <c r="G12" i="2"/>
  <c r="F33" i="2"/>
  <c r="H33" i="2" s="1"/>
  <c r="E6" i="1"/>
  <c r="E8" i="1"/>
  <c r="E9" i="1"/>
  <c r="E10" i="1"/>
  <c r="E11" i="1"/>
  <c r="E12" i="1"/>
  <c r="F35" i="2" s="1"/>
  <c r="H35" i="2" s="1"/>
  <c r="I35" i="2" s="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F34" i="2" s="1"/>
  <c r="H34" i="2" s="1"/>
  <c r="I34" i="2" s="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F29" i="2" s="1"/>
  <c r="H29" i="2" s="1"/>
  <c r="E143" i="1"/>
  <c r="E144" i="1"/>
  <c r="E145" i="1"/>
  <c r="E146" i="1"/>
  <c r="E147" i="1"/>
  <c r="E148" i="1"/>
  <c r="E149" i="1"/>
  <c r="F31" i="2" s="1"/>
  <c r="H31" i="2" s="1"/>
  <c r="E150" i="1"/>
  <c r="E151" i="1"/>
  <c r="E152" i="1"/>
  <c r="F30" i="2" s="1"/>
  <c r="H30" i="2" s="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F24" i="2" s="1"/>
  <c r="H24" i="2" s="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F26" i="2" s="1"/>
  <c r="H26" i="2" s="1"/>
  <c r="I26" i="2" s="1"/>
  <c r="E275" i="1"/>
  <c r="F27" i="2" s="1"/>
  <c r="H27" i="2" s="1"/>
  <c r="I27" i="2" s="1"/>
  <c r="E276" i="1"/>
  <c r="E277" i="1"/>
  <c r="F25" i="2" s="1"/>
  <c r="H25" i="2" s="1"/>
  <c r="E278" i="1"/>
  <c r="E279" i="1"/>
  <c r="E280" i="1"/>
  <c r="E281" i="1"/>
  <c r="E282" i="1"/>
  <c r="E283" i="1"/>
  <c r="E284" i="1"/>
  <c r="F32" i="2" s="1"/>
  <c r="H32" i="2" s="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F6" i="2" s="1"/>
  <c r="H6" i="2" s="1"/>
  <c r="I6" i="2" s="1"/>
  <c r="E433" i="1"/>
  <c r="E434" i="1"/>
  <c r="E435" i="1"/>
  <c r="E436" i="1"/>
  <c r="E437" i="1"/>
  <c r="E438" i="1"/>
  <c r="E439" i="1"/>
  <c r="E440" i="1"/>
  <c r="F15" i="2" s="1"/>
  <c r="H15" i="2" s="1"/>
  <c r="I15" i="2" s="1"/>
  <c r="E441" i="1"/>
  <c r="F16" i="2" s="1"/>
  <c r="H16" i="2" s="1"/>
  <c r="E442" i="1"/>
  <c r="E443" i="1"/>
  <c r="E444" i="1"/>
  <c r="E445" i="1"/>
  <c r="F8" i="2" s="1"/>
  <c r="H8" i="2" s="1"/>
  <c r="I8" i="2" s="1"/>
  <c r="E446" i="1"/>
  <c r="E447" i="1"/>
  <c r="E448" i="1"/>
  <c r="E449" i="1"/>
  <c r="E450" i="1"/>
  <c r="F9" i="2" s="1"/>
  <c r="H9" i="2" s="1"/>
  <c r="E451" i="1"/>
  <c r="F10" i="2" s="1"/>
  <c r="H10" i="2" s="1"/>
  <c r="I10" i="2" s="1"/>
  <c r="E452" i="1"/>
  <c r="F17" i="2" s="1"/>
  <c r="H17" i="2" s="1"/>
  <c r="E453" i="1"/>
  <c r="E454" i="1"/>
  <c r="E455" i="1"/>
  <c r="F18" i="2" s="1"/>
  <c r="H18" i="2" s="1"/>
  <c r="I18" i="2" s="1"/>
  <c r="E456" i="1"/>
  <c r="E457" i="1"/>
  <c r="F19" i="2" s="1"/>
  <c r="H19" i="2" s="1"/>
  <c r="E458" i="1"/>
  <c r="F20" i="2" s="1"/>
  <c r="H20" i="2" s="1"/>
  <c r="I20" i="2" s="1"/>
  <c r="E459" i="1"/>
  <c r="E460" i="1"/>
  <c r="E461" i="1"/>
  <c r="E462" i="1"/>
  <c r="E463" i="1"/>
  <c r="E464" i="1"/>
  <c r="E465" i="1"/>
  <c r="F21" i="2" s="1"/>
  <c r="H21" i="2" s="1"/>
  <c r="E466" i="1"/>
  <c r="F11" i="2" s="1"/>
  <c r="H11" i="2" s="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F22" i="2" s="1"/>
  <c r="H22" i="2" s="1"/>
  <c r="E510" i="1"/>
  <c r="F13" i="2" s="1"/>
  <c r="H13" i="2" s="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8" i="1"/>
  <c r="E1249" i="1"/>
  <c r="E1250" i="1"/>
  <c r="E1251" i="1"/>
  <c r="E1252" i="1"/>
  <c r="E1253" i="1"/>
  <c r="E1254" i="1"/>
  <c r="C35" i="2"/>
  <c r="C34" i="2"/>
  <c r="C33" i="2"/>
  <c r="C32" i="2"/>
  <c r="C31" i="2"/>
  <c r="C30" i="2"/>
  <c r="C29" i="2"/>
  <c r="C28" i="2"/>
  <c r="C27" i="2"/>
  <c r="C26" i="2"/>
  <c r="C25" i="2"/>
  <c r="C24" i="2"/>
  <c r="C23" i="2"/>
  <c r="C22" i="2"/>
  <c r="C21" i="2"/>
  <c r="C20" i="2"/>
  <c r="C19" i="2"/>
  <c r="C18" i="2"/>
  <c r="C17" i="2"/>
  <c r="C16" i="2"/>
  <c r="C15" i="2"/>
  <c r="C14" i="2"/>
  <c r="C13" i="2"/>
  <c r="C12" i="2"/>
  <c r="C11" i="2"/>
  <c r="C10" i="2"/>
  <c r="C9" i="2"/>
  <c r="C8" i="2"/>
  <c r="C7" i="2"/>
  <c r="C6" i="2"/>
  <c r="I19" i="2" l="1"/>
  <c r="I30" i="2"/>
  <c r="I21" i="2"/>
  <c r="I9" i="2"/>
  <c r="I16" i="2"/>
  <c r="I25" i="2"/>
  <c r="I31" i="2"/>
  <c r="I24" i="2"/>
  <c r="I33" i="2"/>
  <c r="L10" i="2" s="1"/>
  <c r="I22" i="2"/>
  <c r="I17" i="2"/>
  <c r="I32" i="2"/>
  <c r="I11" i="2"/>
  <c r="F14" i="2"/>
  <c r="H14" i="2" s="1"/>
  <c r="I14" i="2" s="1"/>
  <c r="F12" i="2"/>
  <c r="H12" i="2" s="1"/>
  <c r="I12" i="2" s="1"/>
  <c r="F28" i="2"/>
  <c r="H28" i="2" s="1"/>
  <c r="I28" i="2" s="1"/>
  <c r="I13" i="2"/>
  <c r="I29" i="2"/>
  <c r="F7" i="2"/>
  <c r="F23" i="2"/>
  <c r="H23" i="2" s="1"/>
  <c r="I23" i="2" s="1"/>
  <c r="L8" i="2" l="1"/>
  <c r="L7" i="2"/>
  <c r="H7" i="2"/>
  <c r="I7" i="2" s="1"/>
  <c r="L6" i="2" s="1"/>
  <c r="L9" i="2"/>
  <c r="L11" i="2" l="1"/>
  <c r="I36" i="2"/>
</calcChain>
</file>

<file path=xl/sharedStrings.xml><?xml version="1.0" encoding="utf-8"?>
<sst xmlns="http://schemas.openxmlformats.org/spreadsheetml/2006/main" count="3835" uniqueCount="2384">
  <si>
    <t>Shipping box: 8-slot Chassis System (complete set: Box/Foam)</t>
  </si>
  <si>
    <t xml:space="preserve">Shipping box/Foam: 8-slot </t>
  </si>
  <si>
    <t>Shipping Box 15-slot Chassis System (complete set: Box/Foam)</t>
  </si>
  <si>
    <t xml:space="preserve">Shipping Box/Foam: 15-slot </t>
  </si>
  <si>
    <t>SW Upd FWS*, FBS*, TS4F</t>
  </si>
  <si>
    <t>Rtr SW Update, NSR*, TSR4F</t>
  </si>
  <si>
    <t>Rtr SW Update, T/8, FI2, BI</t>
  </si>
  <si>
    <t xml:space="preserve">L4 SLB SW Upd </t>
  </si>
  <si>
    <t>L4 SLBXL/G SW Upd</t>
  </si>
  <si>
    <t xml:space="preserve">Documentation on CD-ROM </t>
  </si>
  <si>
    <t>IVIEW-SW Sppt</t>
  </si>
  <si>
    <t>ON-SITE INSTALLATION SVC (PER HOUR CHARGE)</t>
  </si>
  <si>
    <t>Onsite Install hourly rate</t>
  </si>
  <si>
    <t>NI XMR 8-Slot Chassis with fan assy</t>
  </si>
  <si>
    <t>NI XMR 4-Slot Chassis with fan assy</t>
  </si>
  <si>
    <t>NI XMR/MLX Switch fabric for 16- and 8-slot chassis</t>
  </si>
  <si>
    <t>NI XMR/MLX Switch fabric for 4-slot chassis</t>
  </si>
  <si>
    <t>NI XMR/MLX 8-Slot air filter</t>
  </si>
  <si>
    <t>NI XMR/MLX 4-Slot air filter</t>
  </si>
  <si>
    <t>NI MLX 16-Slot Chassis 1 MR, 3 SF3, 4 AC PS and Fan assy</t>
  </si>
  <si>
    <t>NI MLX 8-Slot Chassis 1 MR, 2 SF3, 2 AC PS and Fan assy</t>
  </si>
  <si>
    <t>NI MLX 4-Slot Chassis 1 MR, 2 SF1, 1 AC PS and Fan assy</t>
  </si>
  <si>
    <t>NI MLX 16-Slot Chassis 1 MR, 3 SF3, 4 DC PS and Fan assy</t>
  </si>
  <si>
    <t>NI MLX 8-Slot Chassis 1 MR, 2 SF3, 2 DC PS and Fan assy</t>
  </si>
  <si>
    <t>NI MLX 4-Slot Chassis 1 MR, 2 SF1, 1 DC PS and Fan assy</t>
  </si>
  <si>
    <t>NI MLX Management module</t>
  </si>
  <si>
    <t>NI MLX 4-port 10GE</t>
  </si>
  <si>
    <t>NI MLX 2-port 10GE</t>
  </si>
  <si>
    <t>NI MLX 20-port 100/1000 fiber</t>
  </si>
  <si>
    <t>NI MLX 20-port 10/100/1000 copper</t>
  </si>
  <si>
    <t>NI MLX 16-Slot Chassis with fan assy</t>
  </si>
  <si>
    <t>NI MLX 8-Slot Chassis with fan assy</t>
  </si>
  <si>
    <t>NI MLX 4-Slot Chassis with fan assy</t>
  </si>
  <si>
    <t>NEBS Air Filter</t>
  </si>
  <si>
    <t>Double-wide 24-port 10/100 and 4-port Gigabit (CF).</t>
  </si>
  <si>
    <t>16-port 10/100Base-TX (RJ45) with one expansion slot</t>
  </si>
  <si>
    <t>24-port 10/100Base-TX (RJ45) with one expansion slot</t>
  </si>
  <si>
    <t>16-port 10/100Base-TX (RJ45) with one expansion slot and -48vDC power supply</t>
  </si>
  <si>
    <t>24-port 10/100Base-TX (RJ45) with one expansion slot and -48vDC power supply</t>
  </si>
  <si>
    <t>16-port 10/100Base-TX (RJ45) and 2-port 1000Base-T (RJ45) copper Gigabit uplink</t>
  </si>
  <si>
    <t>16-port 10/100 switch with 2-port Gigabit Copper uplinks</t>
  </si>
  <si>
    <t>16-port 10/100Base-TX (RJ45) and 2-port 1000Base-SX (SC) Gigabit uplink for 50 or 62.um MMF</t>
  </si>
  <si>
    <t>16-port 10/100 switch with 2-port 1000Base-SX (SC) Gigabit uplink for 50 or 62.um MMF</t>
  </si>
  <si>
    <t>1-port 1000Base-T (RJ45) copper Gigabit uplink</t>
  </si>
  <si>
    <t>Spare: +1G Uplink +1G</t>
  </si>
  <si>
    <t>2-port 1000Base-T (RJ45) copper Gigabit uplink</t>
  </si>
  <si>
    <t>Spare: +2G Uplink +2G</t>
  </si>
  <si>
    <t>1-port 1000Base-SX (SC) Gigabit uplink for 50 or 62.5µm MMF</t>
  </si>
  <si>
    <t>1-p 1000Base-SX Uplink</t>
  </si>
  <si>
    <t>2-port 1000Base-SX (SC) Gigabit uplink for 50 or 62.5µm MMF</t>
  </si>
  <si>
    <t>2-p 1000Base-SX Uplink</t>
  </si>
  <si>
    <t>AC PS Stackables (not T/8)</t>
  </si>
  <si>
    <t>Factory DC Stck PS (no T/8)</t>
  </si>
  <si>
    <t>4-slot chassis equipped with WSM6 (Web Switching Management Module with THREE BPs), one AC Power Supply and 2-Port 10 Gigabit Line Module</t>
  </si>
  <si>
    <t>4-slot chassis equipped with WSM6 (Web Switching Management Module with THREE BPs), one –48V DC Power Supply and 2-Port 10 Gigabit Line Module</t>
  </si>
  <si>
    <t>Double-wide 24-port 10/100 and 4-port Gigabit (CF)</t>
  </si>
  <si>
    <t>Redundant -48V DC Power Supply for the 3-slot 2RU Chassis</t>
  </si>
  <si>
    <t>Ultra High performance WSM7 Web Switch Management Module with 3BPs. Use for replacement, redundancy, and performance upgrade.</t>
  </si>
  <si>
    <t>High performance Web Switch Management Module with 3BPs. Use for replacement, redundancy, and performance upgrade.</t>
  </si>
  <si>
    <t>Web Switch Management Module with 1BP. Use for replacement and redundancy.</t>
  </si>
  <si>
    <t>Web Switch Management Module with 2BPs. Use for replacement, redundancy, and performance upgrade from WSM6-1.</t>
  </si>
  <si>
    <t>Web switch management module with 1BP integrated SSL and 1MP</t>
  </si>
  <si>
    <t>Web switch management module with 2BP integrated SSL and 1MP</t>
  </si>
  <si>
    <t>SSL Service module with 1BP integrated SSL (no MP)</t>
  </si>
  <si>
    <t>SSL Service module with 2BP integrated SSL (no MP)</t>
  </si>
  <si>
    <t>Layer 2 Switching &amp; Layer 4-7 Traffic management software</t>
  </si>
  <si>
    <t>TrafficWorks - Switch</t>
  </si>
  <si>
    <t>INM STANDALONE NT</t>
  </si>
  <si>
    <t>INM SOLARIS</t>
  </si>
  <si>
    <t>INM LINUX</t>
  </si>
  <si>
    <t>Additional 5-user license to allow for 5 more concurrent users.</t>
  </si>
  <si>
    <t>INM License</t>
  </si>
  <si>
    <t>MetaSolv IP Service Activator (IPSA)-- Policy Engine
Core service activator policy engine required for the service activation functionality. Prerequisite for ordering the other MetaSolv service module packages</t>
  </si>
  <si>
    <t>MetaSolv IP Service Activator-- Policy Engine</t>
  </si>
  <si>
    <t>MetaSolv IP Service Activator (IPSA)-- Service activation package for Layer 2 VPN (VPLS and VLL) services with QoS capabilities and license to configure up to 400 customer-facing interfaces ("service access points").
Prerequisite: Requires ordering of ACT-Core-Policy-Eng (IP Service Activator-- Policy Engine) part also.
No additional charge for network facing interfaces on PE routers or for P router interfaces.</t>
  </si>
  <si>
    <t>MetaSolv IP Service Activator-- Service activation package for Layer 2 VPN (VPLS and VLL) services</t>
  </si>
  <si>
    <t>MetaSolv IP Service Activator (IPSA)-- Service activation package for Layer 3 VPN (RFC2547bis) services with QoS capabilities and license to configure up to 400 customer-facing interfaces ("service access points"). 
Prerequisite: Requires ordering of ACT-Core-Policy-Eng (IP Service Activator-- Policy Engine) part also.
No additional charge for network facing interfaces on PE routers or for P router interfaces.</t>
  </si>
  <si>
    <t>MetaSolv IP Service Activator-- Service activation package for Layer 3 VPN (RFC2547bis) services</t>
  </si>
  <si>
    <t>MetaSolv IP Service Activator (IPSA)-- Service activation package for both Layer 2 VPN (VPLS and VLL) and Layer 3 VPN (RFC2547bis) services with QoS capabilities and license to configure up to a total of 400 customer-facing interfaces ("service access points").
Prerequisite: Requires ordering of ACT-Core-Policy-Eng (IP Service Activator-- Policy Engine) part also.</t>
  </si>
  <si>
    <t>MetaSolv IP Service Activator-- Service activation package for both Layer 2 VPN (VPLS and VLL) and Layer 3 VPN (RFC2547bis) services</t>
  </si>
  <si>
    <t>MetaSolv IP Service Activator (IPSA)--Service activation package for Ethernet VLAN networks with QoS capabilities and license to configure up to 400 customer-facing interfaces ("service access points").
Prerequisite: Requires ordering of ACT-Core-Policy-Eng (IP Service Activator-- Policy Engine) part also.</t>
  </si>
  <si>
    <t xml:space="preserve">MetaSolv IP Service Activator--Service activation package for Ethernet VLAN networks </t>
  </si>
  <si>
    <t>MetaSolv IP Service Activator (IPSA)--Optional additional license bundles for 100 customer-facing interfaces ("service access points"). Purchase if the provider needs to manage more customer interfaces than what is bundled in the service activation package being used</t>
  </si>
  <si>
    <t xml:space="preserve">MetaSolv IP Service Activator--Optional additional license bundles for 100 customer-facing interfaces </t>
  </si>
  <si>
    <t>MetaSolv IP Service Activator (IPSA)--Optional additional license bundles for 500 customer-facing interfaces ("service access points"). Purchase if the provider needs to manage more customer interfaces than what is bundled in the service activation package being used</t>
  </si>
  <si>
    <t xml:space="preserve">MetaSolv IP Service Activator--Optional additional license bundles for 500 customer-facing interfaces </t>
  </si>
  <si>
    <t>MetaSolv IP Service Activator (IPSA)--Optional additional license bundles for 1000 customer-facing interfaces ("service access points"). Purchase if the provider needs to manage more customer interfaces than what is bundled in the service activation package being used</t>
  </si>
  <si>
    <t xml:space="preserve">MetaSolv IP Service Activator--Optional additional license bundles for 1000 customer-facing interfaces </t>
  </si>
  <si>
    <t>MetaSolv IP Service Activator (IPSA)--Optional additional license bundles for 5000 customer-facing interfaces. Purchase if the provider needs to manage more customer interfaces than what is bundled in the service activation package being used</t>
  </si>
  <si>
    <t xml:space="preserve">MetaSolv IP Service Activator--Optional additional license bundles for 5000 customer-facing interfaces </t>
  </si>
  <si>
    <t>FES/FWSX/FESX RACK EARS</t>
  </si>
  <si>
    <t>FES9604 Rack Mount Kit</t>
  </si>
  <si>
    <t>Spare, Kit, Rack Mounting, Stackable, FCS</t>
  </si>
  <si>
    <t>Rack Kit Stackable</t>
  </si>
  <si>
    <t>Rack kits for the 15-slot.</t>
  </si>
  <si>
    <t>Rack Kit 15-Slot</t>
  </si>
  <si>
    <t>15-slot Chassis Fan Tray</t>
  </si>
  <si>
    <t>Uplink Faceplt, Serial Port</t>
  </si>
  <si>
    <t>Faceplate for systems with 2-port fiber (Gig or 100base-fx) uplink (Replacement faceplate - Every Uplink option ships with appropriate faceplate)</t>
  </si>
  <si>
    <t>Uplink Faceplate, 2-p Fiber</t>
  </si>
  <si>
    <t>Faceplate for systems with 1-port fiber uplink (Replacement faceplate - Every Uplink option ships with appropriate faceplate)</t>
  </si>
  <si>
    <t>Uplink Faceplate, 1-p Fiber</t>
  </si>
  <si>
    <t>Faceplate for systems with 2-port 100base-Tx (RJ45) uplink (Replacement faceplate - Every Uplink option ships with appropriate faceplate)</t>
  </si>
  <si>
    <t>Uplink Faceplate, 2-TX</t>
  </si>
  <si>
    <t>Console Port Serial Cable (DB9F to DB9F) Straight-through</t>
  </si>
  <si>
    <t>Console Cable, Strght-Thru</t>
  </si>
  <si>
    <t>Console Cable EIF</t>
  </si>
  <si>
    <t>3m MMF Patch Cord with LC and SC connectors</t>
  </si>
  <si>
    <t>3m MMF LC-SC Patch Cord</t>
  </si>
  <si>
    <t>3m MMF Patch Cord with MTRJ and SC connectors</t>
  </si>
  <si>
    <t>3m MMF MTRJ-SC Patch Cord</t>
  </si>
  <si>
    <t>3m  SMF Patch Cord with LC and SC connectors</t>
  </si>
  <si>
    <t>3m SMF LC-SC Patch Cord</t>
  </si>
  <si>
    <t>Power Cord for RPS2/3/5, USA version, 9'10" (~ 10')</t>
  </si>
  <si>
    <t xml:space="preserve">USA Power Cord </t>
  </si>
  <si>
    <t>Power Cord for RPS2/3/5 USA version - NEMA 5-15P Plug (15amp)</t>
  </si>
  <si>
    <t>Power Cord for RPS2/3/5, United Kingdom version</t>
  </si>
  <si>
    <t xml:space="preserve">UK Power Cord </t>
  </si>
  <si>
    <t>Power Cord for RPS2/3/5, Japan version</t>
  </si>
  <si>
    <t xml:space="preserve">Japan Power Cord </t>
  </si>
  <si>
    <t>Power Cord for RPS2/3/5, European version</t>
  </si>
  <si>
    <t xml:space="preserve">EU Power Cord </t>
  </si>
  <si>
    <t>Power Cord for RPS4, USA version - NEMA 5-20P Plug (20amp)</t>
  </si>
  <si>
    <t>USA Power Cord (15-slot)</t>
  </si>
  <si>
    <t>250v Cord for RPS4, USA version - NEMA 6-15P Plug (15amp)</t>
  </si>
  <si>
    <t>USA Power Cord 250v</t>
  </si>
  <si>
    <t>Power Cord for RPS4, United Kingdom version</t>
  </si>
  <si>
    <t>UK Power Cord (15-slot)</t>
  </si>
  <si>
    <t>Power Cord for RPS4, European version</t>
  </si>
  <si>
    <t>EU Power Cord (15-slot)</t>
  </si>
  <si>
    <t>Power Cord for use with 2500,220V SX-ACPWR-2500-POE power supply. NEMA 6/20 specification.</t>
  </si>
  <si>
    <t>PC for SX-ACPWR-2500-POE</t>
  </si>
  <si>
    <t>FES WALL MOUNT</t>
  </si>
  <si>
    <t xml:space="preserve">Power Cord, IEC 320 C19 to NEMA 5-15 Japan PSE certified </t>
  </si>
  <si>
    <t>Power Cord for India used on 1,000 to 1,250 Watt Power Supplies</t>
  </si>
  <si>
    <t>Power Cord for China used on 1,000 to 1,250 Watt Power Supplies</t>
  </si>
  <si>
    <t>AUS Power Cord for the EIF, the RPS5, the RPS8, the RPS-X424, &amp; the RPS-X448</t>
  </si>
  <si>
    <t>PC, China IEC-309, 110/220v, 20Amp</t>
  </si>
  <si>
    <t>Accessory: Chassis System blank module slot panel</t>
  </si>
  <si>
    <t>Chass blank module panel</t>
  </si>
  <si>
    <t>Accessory: 4-slot and 8-slot Chassis Computer Rack Kit</t>
  </si>
  <si>
    <t>4-Slot Center Mnt Rack Kit</t>
  </si>
  <si>
    <t>Spare, Kit, Rack Mount, B4000</t>
  </si>
  <si>
    <t>4-slot Rack Mount Kit</t>
  </si>
  <si>
    <t>Accessory: 8-slot Chassis Rack Mount Kit (Bracket &amp; Screws)</t>
  </si>
  <si>
    <t xml:space="preserve">8-slot Rack Mount Kit </t>
  </si>
  <si>
    <t>NEBS 60 PPI Quadrafoam Air Filter Rated UL 94 HF-1</t>
  </si>
  <si>
    <t>Accessory: 15-slot Chassis System NEBS Fan Tray</t>
  </si>
  <si>
    <t>15-slot NEBS Fan Tray</t>
  </si>
  <si>
    <t>Shipping Box: Single Stackable System (complete set: Box/Foam)</t>
  </si>
  <si>
    <t>Box: Stackable</t>
  </si>
  <si>
    <t>Shipping Box: 4-slot Chassis System (complete set: Box/Foam)</t>
  </si>
  <si>
    <t xml:space="preserve">Shipping Box/Foam: 4-slot </t>
  </si>
  <si>
    <t>Shipping Box: Stackable Uplink</t>
  </si>
  <si>
    <t>Box: Stackable Uplink</t>
  </si>
  <si>
    <t>Shipping Box: Multipack for 5 Stackable Uplink (01400-008)</t>
  </si>
  <si>
    <t>Box: Uplink Multi-pack 5x</t>
  </si>
  <si>
    <t>Shipping Box: Multipack for 10 Stackable Uplink (01400-008)</t>
  </si>
  <si>
    <t>Box: Uplink Multi-pack 10x</t>
  </si>
  <si>
    <t>Shipping Box: Chassis System modules</t>
  </si>
  <si>
    <t>Box: BI/FI2 module</t>
  </si>
  <si>
    <t>Shipping Box: RPS3/RPS3-48vDC power supply</t>
  </si>
  <si>
    <t>Box: RPS3/RPS3DC PS</t>
  </si>
  <si>
    <t>Foam-Set: 4-slot Chassis System</t>
  </si>
  <si>
    <t xml:space="preserve">Foam-Set: 4-slot Chassis </t>
  </si>
  <si>
    <t>Box-Top: 4-slot Chassis System</t>
  </si>
  <si>
    <t xml:space="preserve">Box-Top: 4-slot Chassis </t>
  </si>
  <si>
    <t>Box-Top: 8-slot Chassis System</t>
  </si>
  <si>
    <t xml:space="preserve">Box-Top: 8-slot Chassis </t>
  </si>
  <si>
    <t>Box Bottom: 4- and 8-slot Chassis System</t>
  </si>
  <si>
    <t xml:space="preserve">Box Bottom: 4- and 8-slot  </t>
  </si>
  <si>
    <t>Redundant DC power supply (600W) for the FES X448 and FWS X448</t>
  </si>
  <si>
    <t>RPS DC (600W) for the FES X448</t>
  </si>
  <si>
    <t>1000Base-LX SFP optic, SMF, LC connector</t>
  </si>
  <si>
    <t>SX MMF SFP LC</t>
  </si>
  <si>
    <t>SX MMF SFP MTRJ</t>
  </si>
  <si>
    <t>LX SMF SFP LC</t>
  </si>
  <si>
    <t>FISX Chassis with DC PS</t>
  </si>
  <si>
    <t>FSX L2/Base L3 chassis bundle - AC PS, 3x24-port modules and an M1.</t>
  </si>
  <si>
    <t>FSX L2/Base L3 chassis bundle - DC PS, 3x24-port modules and an M1.</t>
  </si>
  <si>
    <t>FSX L3 chassis bundle - AC PS, 3x24-port modules and an M1.</t>
  </si>
  <si>
    <t>FSX L3 chassis bundle - DC PS, 3x24-port modules and an M1.</t>
  </si>
  <si>
    <t>FSX 800 chassis bundle includes 1xFI-SX800-S, 2xSX-FISF, 1xSX-ACPWR-SYS, 9xSX-FI-IFPNL, 3xSX-PWR-PNL, &amp; 1xSX-SX800-FAN</t>
  </si>
  <si>
    <t>FSX 1600 chassis bundle includes 1xFI-SX1600-S, 2xSX-FISF, 2xSX-ACPWR-SYS, 17xSX-FI-IFPNL, 6xSX-PWR-PNL,1xSX-SX1600-FILTER, &amp; 2xSX-SX1600-FAN</t>
  </si>
  <si>
    <t>FSX 800 chassis bundle includes 1xFI-SX800-S, 2xSX-FISF, 1xSX-DCPWR-SYS, 9xSX-FI-IFPNL, 3xSX-PWR-PNL, &amp; 1xSX-SX800-FAN</t>
  </si>
  <si>
    <t>FSX 800 chassis bundle - 1 AC PS &amp; 1 SF.</t>
  </si>
  <si>
    <t>FSX 800 chassis bundle - 1 DC PS and 1 SF.</t>
  </si>
  <si>
    <t>FSX 1600 chassis bundle includes 1xFI-SX1600-S, 2xSX-FISF, 2xSX-DCPWR-SYS, 17xSX-FI-IFPNL, 6xSX-PWR-PNL,1xSX-SX1600-FILTER, &amp; 2xSX-SX1600-FAN</t>
  </si>
  <si>
    <t>FSX 1600 chassis bundle - 2 AC PS and 1 SF.</t>
  </si>
  <si>
    <t>FSX 1600 chassis bundle - 2 DC PS and 1 SF.</t>
  </si>
  <si>
    <t>M3 for the FSX 800 and the FSX 1600 with zero-port</t>
  </si>
  <si>
    <t>M3 with zero-port and Full Layer 3 for the FSX 800 and the FSX 1600</t>
  </si>
  <si>
    <t>M4 2-port 10GbE for the FSX 800 and the FSX 1600</t>
  </si>
  <si>
    <t>M4 with 2-port 10GbE and Full Layer 3 for the FSX 800 and the FSX 1600</t>
  </si>
  <si>
    <t>24-port 100FX bundle, which includes SX-FI424HF and 24 E1MG-100FX optics for fiber to the desktop applications.</t>
  </si>
  <si>
    <t>24-port 100FX bundle</t>
  </si>
  <si>
    <t>POE Add-in Card for 24-port 10/100/1000 modules (Part # SX-FI424C)</t>
  </si>
  <si>
    <t>FISX 8-slot Chassis</t>
  </si>
  <si>
    <t>FI SuperX/SX module blank panel (interface module slots for FI SuperX and all module slots for FI SX 800/1600)</t>
  </si>
  <si>
    <t>FI SuperX/SX power supply blank panel</t>
  </si>
  <si>
    <t>FISX Fan</t>
  </si>
  <si>
    <t>FI SX 800 Fan and Fan tray</t>
  </si>
  <si>
    <t>FI SX 1600 Fan and Fan Tray</t>
  </si>
  <si>
    <t>FI SX 1600 Filter</t>
  </si>
  <si>
    <t>SF Module for the FSX 800 and the FSX 1600</t>
  </si>
  <si>
    <t>Auto-switching (90-220v) 550W AC power supply</t>
  </si>
  <si>
    <t>AC PS (BI)</t>
  </si>
  <si>
    <t>550W, -48vDC power supply</t>
  </si>
  <si>
    <t>550W, -48vDC PS (BI)</t>
  </si>
  <si>
    <t>Auto-switching (90-220V) AC power supply for POE shelf</t>
  </si>
  <si>
    <t>BI/FI POE power supply shelf</t>
  </si>
  <si>
    <t>auto-switching (90-220v) 1100W, AC power supply</t>
  </si>
  <si>
    <t>1100W, -48vDC power supply</t>
  </si>
  <si>
    <t>4-slot chassis equipped with WSM6-SSL-1 (Web Switching Management Module with ONE BP and integrated SSL acceleration), and one AC Power Supply</t>
  </si>
  <si>
    <t>4-slot chassis equipped with WSM6-SSL-2 (Web Switching Management Module with TWO BP and integrated SSL acceleration), and one AC Power Supply</t>
  </si>
  <si>
    <t xml:space="preserve">10G-ZR DWDM, XENPAK, 80km, 1561.42 nm, Ch. 20, SC </t>
  </si>
  <si>
    <t>10GBASE-ZR DWDM, XENPAK optic, 80km, 1560.61 nm, Channel 21, SC connector</t>
  </si>
  <si>
    <t xml:space="preserve">10G-ZR DWDM, XENPAK, 80km, 1560.61 nm, Ch. 21, SC </t>
  </si>
  <si>
    <t>10GBASE-ZR DWDM, XENPAK optic, 80km, 1559.79 nm, Channel 22, SC connector</t>
  </si>
  <si>
    <t xml:space="preserve">10G-ZR DWDM, XENPAK, 80km, 1559.79 nm, Ch. 22, SC </t>
  </si>
  <si>
    <t>10GBASE-ZR DWDM, XENPAK optic, 80km, 1558.98 nm, Channel 23, SC connector</t>
  </si>
  <si>
    <t xml:space="preserve">10G-ZR DWDM, XENPAK, 80km, 1558.98 nm, Ch. 23, SC </t>
  </si>
  <si>
    <t>10GBASE-ZR DWDM, XENPAK optic, 80km, 1558.17 nm, Channel 24, SC connector</t>
  </si>
  <si>
    <t xml:space="preserve">10G-ZR DWDM, XENPAK, 80km, 1558.17 nm, Ch. 24, SC </t>
  </si>
  <si>
    <t>10GBASE-ZR DWDM, XENPAK optic, 80km, 1557.36 nm, Channel 25, SC connector</t>
  </si>
  <si>
    <t xml:space="preserve">10G-ZR DWDM, XENPAK, 80km, 1557.36 nm, Ch. 25, SC </t>
  </si>
  <si>
    <t>10GBASE-ZR DWDM, XENPAK optic, 80km, 1556.55 nm, Channel 26, SC connector</t>
  </si>
  <si>
    <t xml:space="preserve">10G-ZR DWDM, XENPAK, 80km, 1556.55 nm, Ch. 26, SC </t>
  </si>
  <si>
    <t>10GBASE-ZR DWDM, XENPAK optic, 80km, 1555.75 nm, Channel 27, SC connector</t>
  </si>
  <si>
    <t xml:space="preserve">10G-ZR DWDM, XENPAK, 80km, 1555.75 nm, Ch. 27, SC </t>
  </si>
  <si>
    <t>10GBASE-ZR DWDM, XENPAK optic, 80km, 1554.94 nm, Channel 28, SC connector</t>
  </si>
  <si>
    <t xml:space="preserve">10G-ZR DWDM, XENPAK, 80km, 1554.94 nm, Ch. 28, SC </t>
  </si>
  <si>
    <t>10GBASE-ZR DWDM, XENPAK optic, 80km, 1554.13 nm, Channel 29, SC connector</t>
  </si>
  <si>
    <t xml:space="preserve">10G-ZR DWDM, XENPAK, 80km, 1554.13 nm, Ch. 29, SC </t>
  </si>
  <si>
    <t>10GBASE-ZR DWDM, XENPAK optic, 80km, 1553.33 nm, Channel 30, SC connector</t>
  </si>
  <si>
    <t xml:space="preserve">10G-ZR DWDM, XENPAK, 80km, 1553.33 nm, Ch. 30, SC </t>
  </si>
  <si>
    <t>10GBASE-ZR DWDM, XENPAK optic, 80km, 1552.52 nm, Channel 31, SC connector</t>
  </si>
  <si>
    <t xml:space="preserve">10G-ZR DWDM, XENPAK, 80km, 1552.52 nm, Ch. 31, SC </t>
  </si>
  <si>
    <t>10GBASE-ZR DWDM, XENPAK optic, 80km, 1551.72 nm, Channel 32, SC connector</t>
  </si>
  <si>
    <t xml:space="preserve">10G-ZR DWDM, XENPAK, 80km, 1551.72 nm, Ch. 32, SC </t>
  </si>
  <si>
    <t>10GBASE-ZR DWDM, XENPAK optic, 80km, 1550.92 nm, Channel 33, SC connector</t>
  </si>
  <si>
    <t xml:space="preserve">10G-ZR DWDM, XENPAK, 80km, 1550.92 nm, Ch. 33, SC </t>
  </si>
  <si>
    <t>10GBASE-ZR DWDM, XENPAK optic, 80km, 1550.12 nm, Channel 34, SC connector</t>
  </si>
  <si>
    <t xml:space="preserve">10G-ZR DWDM, XENPAK, 80km, 1550.12 nm, Ch. 34, SC </t>
  </si>
  <si>
    <t>10GBASE-ZR DWDM, XENPAK optic, 80km, 1549.32 nm, Channel 35, SC connector</t>
  </si>
  <si>
    <t xml:space="preserve">10G-ZR DWDM, XENPAK, 80km, 1549.32 nm, Ch. 35, SC </t>
  </si>
  <si>
    <t>10GBASE-ZR DWDM, XENPAK optic, 80km, 1548.51 nm, Channel 36, SC connector</t>
  </si>
  <si>
    <t xml:space="preserve">10G-ZR DWDM, XENPAK, 80km, 1548.51 nm, Ch. 36, SC </t>
  </si>
  <si>
    <t>10GBASE-ZR DWDM, XENPAK optic, 80km, 1547.72 nm, Channel 37, SC connector</t>
  </si>
  <si>
    <t xml:space="preserve">10G-ZR DWDM, XENPAK, 80km, 1547.72 nm, Ch. 37, SC </t>
  </si>
  <si>
    <t>10GBASE-ZR DWDM, XENPAK optic, 80km, 1546.92 nm, Channel 38, SC connector</t>
  </si>
  <si>
    <t xml:space="preserve">10G-ZR DWDM, XENPAK, 80km, 1546.92 nm, Ch. 38, SC </t>
  </si>
  <si>
    <t>10GBASE-ZR DWDM, XENPAK optic, 80km, 1546.12 nm, Channel 39, SC connector</t>
  </si>
  <si>
    <t xml:space="preserve">10G-ZR DWDM, XENPAK, 80km, 1546.12 nm, Ch. 39, SC </t>
  </si>
  <si>
    <t>10GBASE-ZR DWDM, XENPAK optic, 80km, 1545.32 nm, Channel 40, SC connector</t>
  </si>
  <si>
    <t xml:space="preserve">10G-ZR DWDM, XENPAK, 80km, 1545.32 nm, Ch. 40, SC </t>
  </si>
  <si>
    <t>10GBASE-ZR DWDM, XENPAK optic, 80km, 1544.53 nm, Channel 41, SC connector</t>
  </si>
  <si>
    <t xml:space="preserve">10G-ZR DWDM, XENPAK, 80km, 1544.53 nm, Ch. 41, SC </t>
  </si>
  <si>
    <t>10GBASE-ZR DWDM, XENPAK optic, 80km, 1543.73 nm, Channel 42, SC connector</t>
  </si>
  <si>
    <t xml:space="preserve">10G-ZR DWDM, XENPAK, 80km, 1543.73 nm, Ch. 42, SC </t>
  </si>
  <si>
    <t>10GBASE-ZR DWDM, XENPAK optic, 80km, 1542.94 nm, Channel 43, SC connector</t>
  </si>
  <si>
    <t xml:space="preserve">10G-ZR DWDM, XENPAK, 80km, 1542.94 nm, Ch. 43, SC </t>
  </si>
  <si>
    <t>10GBASE-ZR DWDM, XENPAK optic, 80km, 1542.14 nm, Channel 44, SC connector</t>
  </si>
  <si>
    <t xml:space="preserve">10G-ZR DWDM, XENPAK, 80km, 1542.14 nm, Ch. 44, SC </t>
  </si>
  <si>
    <t>10GBASE-ZR DWDM, XENPAK optic, 80km, 1541.35 nm, Channel 45, SC connector</t>
  </si>
  <si>
    <t xml:space="preserve">10G-ZR DWDM, XENPAK, 80km, 1541.35 nm, Ch. 45, SC </t>
  </si>
  <si>
    <t>10GBASE-ZR DWDM, XENPAK optic, 80km, 1540.56 nm, Channel 46, SC connector</t>
  </si>
  <si>
    <t xml:space="preserve">10G-ZR DWDM, XENPAK, 80km, 1540.56 nm, Ch. 46, SC </t>
  </si>
  <si>
    <t>10GBASE-ZR DWDM, XENPAK optic, 80km, 1539.77 nm, Channel 47, SC connector</t>
  </si>
  <si>
    <t xml:space="preserve">10G-ZR DWDM, XENPAK, 80km, 1539.77 nm, Ch. 47, SC </t>
  </si>
  <si>
    <t>10GBASE-ZR DWDM, XENPAK optic, 80km, 1538.98 nm, Channel 48, SC connector</t>
  </si>
  <si>
    <t xml:space="preserve">10G-ZR DWDM, XENPAK, 80km, 1538.98 nm, Ch. 48, SC </t>
  </si>
  <si>
    <t>10GBASE-ZR DWDM, XENPAK optic, 80km, 1538.19 nm, Channel 49, SC connector</t>
  </si>
  <si>
    <t xml:space="preserve">10G-ZR DWDM, XENPAK, 80km, 1538.19 nm, Ch. 49, SC </t>
  </si>
  <si>
    <t>10GBASE-ZR DWDM, XENPAK optic, 80km, 1537.40 nm, Channel 50, SC connector</t>
  </si>
  <si>
    <t xml:space="preserve">10G-ZR DWDM, XENPAK, 80km, 1537.40 nm, Ch. 50, SC </t>
  </si>
  <si>
    <t>10GBASE-ZR DWDM, XENPAK optic, 80km, 1536.61 nm, Channel 51, SC connector</t>
  </si>
  <si>
    <t xml:space="preserve">10G-ZR DWDM, XENPAK, 80km, 1536.61 nm, Ch. 51, SC </t>
  </si>
  <si>
    <t>10GBASE-ZR DWDM, XENPAK optic, 80km, 1535.82 nm, Channel 52, SC connector</t>
  </si>
  <si>
    <t xml:space="preserve">10G-ZR DWDM, XENPAK, 80km, 1535.82 nm, Ch. 52, SC </t>
  </si>
  <si>
    <t>10GBASE-ZR DWDM, XENPAK optic, 80km, 1535.04 nm, Channel 53, SC connector</t>
  </si>
  <si>
    <t xml:space="preserve">10G-ZR DWDM, XENPAK, 80km, 1535.04 nm, Ch. 53, SC </t>
  </si>
  <si>
    <t>10GBASE-ZR DWDM, XENPAK optic, 80km, 1534.25 nm, Channel 54, SC connector</t>
  </si>
  <si>
    <t xml:space="preserve">10G-ZR DWDM, XENPAK, 80km, 1534.25 nm, Ch. 54, SC </t>
  </si>
  <si>
    <t>10GBASE-ZR DWDM, XENPAK optic, 80km, 1533.47 nm, Channel 55, SC connector</t>
  </si>
  <si>
    <t xml:space="preserve">10G-ZR DWDM, XENPAK, 80km, 1533.47 nm, Ch. 55, SC </t>
  </si>
  <si>
    <t>10GBASE-ZR DWDM, XENPAK optic, 80km, 1532.68 nm, Channel 56, SC connector</t>
  </si>
  <si>
    <t xml:space="preserve">10G-ZR DWDM, XENPAK, 80km, 1532.68 nm, Ch. 56, SC </t>
  </si>
  <si>
    <t>10GBASE-ZR DWDM, XENPAK optic, 80km, 1531.90 nm, Channel 57, SC connector</t>
  </si>
  <si>
    <t xml:space="preserve">10G-ZR DWDM, XENPAK, 80km, 1531.90 nm, Ch. 57, SC </t>
  </si>
  <si>
    <t>10GBASE-ZR DWDM, XENPAK optic, 80km, 1531.12 nm, Channel 58, SC connector</t>
  </si>
  <si>
    <t xml:space="preserve">10G-ZR DWDM, XENPAK, 80km, 1531.12 nm, Ch. 58, SC </t>
  </si>
  <si>
    <t>10GBASE-ZR DWDM, XENPAK optic, 80km, 1530.33 nm, Channel 59, SC connector</t>
  </si>
  <si>
    <t xml:space="preserve">10G-ZR DWDM, XENPAK, 80km, 1530.33 nm, Ch. 59, SC </t>
  </si>
  <si>
    <t>10GBASE-ZR, XENPAK optic, 80km, 1550 nm, SC connectors</t>
  </si>
  <si>
    <t>10G-ZR XENPAK, 80km 1550nm, SC</t>
  </si>
  <si>
    <t>Mounting hardware for IP-ACC-ANT3-130P antenna</t>
  </si>
  <si>
    <t>Full featured dual band AP with 802.11a/b/g and a-Turbo support</t>
  </si>
  <si>
    <t>FULL FEATURED ACCESS POINT</t>
  </si>
  <si>
    <t>2.4 GHZ Omni-Directional Patch Antenna</t>
  </si>
  <si>
    <t>FIP-100 Single Port Power Injector</t>
  </si>
  <si>
    <t>FIP-600 Six Port Power Injector</t>
  </si>
  <si>
    <t>BI RX-16Chassis 1 MR, 3 SFM3, 4 PS and Fan assy</t>
  </si>
  <si>
    <t>BI RX-16Chassis 1 MR, 3 SWF3, 4 PS and Fan assy</t>
  </si>
  <si>
    <t>BI RX-8 Chassis 1 MR, 2 SWF3, 2 PS and Fan assy</t>
  </si>
  <si>
    <t>BI RX-4 Chassis 1 MR, 2 SWF1, 1 PS and Fan assy</t>
  </si>
  <si>
    <t>Switch Fabric for RX-16 and RX-8 Chassis</t>
  </si>
  <si>
    <t>Switch Fabric for RX-4 Chassis</t>
  </si>
  <si>
    <t>2 GB SIMM Upgrade Factory Configured.</t>
  </si>
  <si>
    <t xml:space="preserve">RX-Series Chassis AC power supply for RX-8 and RX-16 </t>
  </si>
  <si>
    <t>RX-Series Chassis AC power supply for RX-4</t>
  </si>
  <si>
    <t>DC PS, BI RX-8 and RX-16 Chassis</t>
  </si>
  <si>
    <t>DC PS, BI RX-4 Chassis</t>
  </si>
  <si>
    <t>BI RX-16 Int. Fan Assy</t>
  </si>
  <si>
    <t>BI RX-16 Exh. Fan Assy includes 2 fans</t>
  </si>
  <si>
    <t>BI RX-8 Fan Assy.</t>
  </si>
  <si>
    <t>BI RX-4 Fan Assy.</t>
  </si>
  <si>
    <t>128MB PCMCIA ATA Flash Memory for Management Modules</t>
  </si>
  <si>
    <t>850nm XENPAK optic</t>
  </si>
  <si>
    <t>BI 4000 Chass.+1 AC PS</t>
  </si>
  <si>
    <t>BI 4000 Chass.+1 DC PS</t>
  </si>
  <si>
    <t>BI 4000 Chass, SPARE no PS</t>
  </si>
  <si>
    <t xml:space="preserve">BI 8000 Chass.+1 AC PS </t>
  </si>
  <si>
    <t>BI 8000 Chass.+1 48vDC PS</t>
  </si>
  <si>
    <t>BI 8000 Chass. SPARE no PS</t>
  </si>
  <si>
    <t>BI 15000 Chass.+2 AC PS</t>
  </si>
  <si>
    <t>BI 15000 Chass.+2 DC PS</t>
  </si>
  <si>
    <t>BI 15000 AC PS</t>
  </si>
  <si>
    <t>BI 1500 -48vDC PS</t>
  </si>
  <si>
    <t>Jcore 24p FX multi</t>
  </si>
  <si>
    <t>BI Jcore 24p FX 15km</t>
  </si>
  <si>
    <t>BI Jcore 16GoC RJ-45</t>
  </si>
  <si>
    <t>BI Jcore 8-X SFP</t>
  </si>
  <si>
    <t>BI Jcore 16-X SFP</t>
  </si>
  <si>
    <t>1-port 10Gigabit Ethernet base module for systems requires optics. Select 10G-XNPK-SR, 10G-XNPK-LR or 10G-XNPK-ER</t>
  </si>
  <si>
    <t>1-port 10GbE Base</t>
  </si>
  <si>
    <t>2-port 10Gigabit Ethernet base module for systems requires optics. Select10G-XNPK-SR, 10G-XNPK-LR or 10G-XNPK-ER</t>
  </si>
  <si>
    <t>2-port 10GbE Base</t>
  </si>
  <si>
    <t>BI Jcore MGMT4 8-X mGBIC</t>
  </si>
  <si>
    <t>NI XMR 16-Slot Chassis 1 MR, 3 SF3, 4 AC PS and Fan assy</t>
  </si>
  <si>
    <t>NI XMR 8-Slot Chassis 1 MR, 2 SF3, 2 AC PS and Fan assy</t>
  </si>
  <si>
    <t>NI XMR 4-Slot Chassis 1 MR, 2 SF1, 1 AC PS and Fan assy</t>
  </si>
  <si>
    <t>NI XMR 16-Slot Chassis 1 MR, 3 SF3, 4 DC PS and Fan assy</t>
  </si>
  <si>
    <t>NI XMR 8-Slot Chassis 1 MR, 2 SF3, 2 DC PS and Fan assy</t>
  </si>
  <si>
    <t>NI XMR 4-Slot Chassis 1 MR, 2 SF1, 1 DC PS and Fan assy</t>
  </si>
  <si>
    <t>NI XMR Management module</t>
  </si>
  <si>
    <t>NI XMR 4-port 10GE</t>
  </si>
  <si>
    <t>NI XMR 2-port 10GE</t>
  </si>
  <si>
    <t>NI XMR 20-port 100/1000 fiber</t>
  </si>
  <si>
    <t>NI XMR 20-port 10/100/1000 copper</t>
  </si>
  <si>
    <t>NI XMR 16-Slot Chassis with fan assy</t>
  </si>
  <si>
    <t>100Base-FX SFP optic MMF, LC connector.</t>
  </si>
  <si>
    <t>100Base-FX SFP, MMF &amp; LC.</t>
  </si>
  <si>
    <t>100BaseFX-IR, SMF, LC, 15Km</t>
  </si>
  <si>
    <t>100BaseFX-LR, SMF, LC, 40Km</t>
  </si>
  <si>
    <t>100Base-BXU SFP optic SMF, 1310nm, LC connector. This optic can only be connected to an E1MG-100BXD at the far end.</t>
  </si>
  <si>
    <t>100Base-BXU SFP, 1310nm, SMF, &amp; LC. Connect only to an E1MG-100BXD.</t>
  </si>
  <si>
    <t>100Base-BXD SFP optic SMF, 1490nm, LC connector. This optic can only be connected to an E1MG-100BXU at the far end.</t>
  </si>
  <si>
    <t>100Base-BXD SFP, 1490nm, SMF, &amp; LC. Connect only to an E1MG-100BXU.</t>
  </si>
  <si>
    <t>1000BASE-TX SFP Copper, RJ-45 Connector</t>
  </si>
  <si>
    <t>1000BASE-TX Copper, RJ-45</t>
  </si>
  <si>
    <t>1000Base-SX SFP optic MMF, LC connector &amp; support for distances up to 2Km.</t>
  </si>
  <si>
    <t>1000Base-SX, SFP, MMF &amp; LC.</t>
  </si>
  <si>
    <t>1000Base-BXU SFP optic SMF, 1310nm, LC connector. This optic can only be connected to an E1MG-BXD at the far.</t>
  </si>
  <si>
    <t>1000Base-BXU SFP, 1310nm, SMF, &amp; LC. Connect only to an E1MG-BXD.</t>
  </si>
  <si>
    <t>1000Base-BXD SFP optic SMF, 1490nm, LC connector. This optic can only be connected to an E1MG-BXU at the far end.</t>
  </si>
  <si>
    <t>1000Base-BXD SFP, 1490nm, SMF, &amp; LC. Connect only to an E1MG-BXU.</t>
  </si>
  <si>
    <t>10GBASE-CX4, XFP module,15m, CX4 connector (Supported only on integrated XFP slot on FGS624XGP and FGS624XGP-POE)</t>
  </si>
  <si>
    <t>10G-CX4 XFP, 15m CX4</t>
  </si>
  <si>
    <t>1550nm serial pluggable XFP optic (LC) for up to 80km over SMF</t>
  </si>
  <si>
    <t>1550nm XFP optic (LC) for up to 80km over SMF</t>
  </si>
  <si>
    <t>10GBASE-ZR DWDM, XFP optic, 80km, 1561.42 nm, Channel 20, LC connector</t>
  </si>
  <si>
    <t xml:space="preserve">10G-ZR DWDM, XFP, 80km, 1561.42 nm, Ch. 20, LC </t>
  </si>
  <si>
    <t>10GBASE-ZR DWDM, XFP optic, 80km, 1560.61 nm, Channel 21, LC connector</t>
  </si>
  <si>
    <t xml:space="preserve">10G-ZR DWDM, XFP, 80km, 1560.61 nm, Ch. 21, LC </t>
  </si>
  <si>
    <t>10GBASE-ZR DWDM, XFP optic, 80km, 1559.79 nm, Channel 22, LC connector</t>
  </si>
  <si>
    <t xml:space="preserve">10G-ZR DWDM, XFP, 80km, 1559.79 nm, Ch. 22, LC </t>
  </si>
  <si>
    <t>10GBASE-ZR DWDM, XFP optic, 80km, 1558.98 nm, Channel 23, LC connector</t>
  </si>
  <si>
    <t xml:space="preserve">10G-ZR DWDM, XFP, 80km, 1558.98 nm, Ch. 23, LC </t>
  </si>
  <si>
    <t>10GBASE-ZR DWDM, XFP optic, 80km, 1558.17 nm, Channel 24, LC connector</t>
  </si>
  <si>
    <t xml:space="preserve">10G-ZR DWDM, XFP, 80km, 1558.17 nm, Ch. 24, LC </t>
  </si>
  <si>
    <t>10GBASE-ZR DWDM, XFP optic, 80km, 1557.36 nm, Channel 25, LC connector</t>
  </si>
  <si>
    <t xml:space="preserve">10G-ZR DWDM, XFP, 80km, 1557.36 nm, Ch. 25, LC </t>
  </si>
  <si>
    <t>10GBASE-ZR DWDM, XFP optic, 80km, 1556.55 nm, Channel 26, LC connector</t>
  </si>
  <si>
    <t xml:space="preserve">10G-ZR DWDM, XFP, 80km, 1556.55 nm, Ch. 26, LC </t>
  </si>
  <si>
    <t>10GBASE-ZR DWDM, XFP optic, 80km, 1555.75 nm, Channel 27, LC connector</t>
  </si>
  <si>
    <t xml:space="preserve">10G-ZR DWDM, XFP, 80km, 1555.75 nm, Ch. 27, LC </t>
  </si>
  <si>
    <t>10GBASE-ZR DWDM, XFP optic, 80km, 1554.94 nm, Channel 28, LC connector</t>
  </si>
  <si>
    <t xml:space="preserve">10G-ZR DWDM, XFP, 80km, 1554.94 nm, Ch. 28, LC </t>
  </si>
  <si>
    <t>10GBASE-ZR DWDM, XFP optic, 80km, 1554.13 nm, Channel 29, LC connector</t>
  </si>
  <si>
    <t xml:space="preserve">10G-ZR DWDM, XFP, 80km, 1554.13 nm, Ch. 29, LC </t>
  </si>
  <si>
    <t>10GBASE-ZR DWDM, XFP optic, 80km, 1553.33 nm, Channel 30, LC connector</t>
  </si>
  <si>
    <t xml:space="preserve">10G-ZR DWDM, XFP, 80km, 1553.33 nm, Ch. 30, LC </t>
  </si>
  <si>
    <t>10GBASE-ZR DWDM, XFP optic, 80km, 1552.52 nm, Channel 31, LC connector</t>
  </si>
  <si>
    <t xml:space="preserve">10G-ZR DWDM, XFP, 80km, 1552.52 nm, Ch. 31, LC </t>
  </si>
  <si>
    <t>10GBASE-ZR DWDM, XFP optic, 80km, 1551.72 nm, Channel 32, LC connector</t>
  </si>
  <si>
    <t xml:space="preserve">10G-ZR DWDM, XFP, 80km, 1551.72 nm, Ch. 32, LC </t>
  </si>
  <si>
    <t>10GBASE-ZR DWDM, XFP optic, 80km, 1550.92 nm, Channel 33, LC connector</t>
  </si>
  <si>
    <t xml:space="preserve">10G-ZR DWDM, XFP, 80km, 1550.92 nm, Ch. 33, LC </t>
  </si>
  <si>
    <t>10GBASE-ZR DWDM, XFP optic, 80km, 1550.12 nm, Channel 34, LC connector</t>
  </si>
  <si>
    <t xml:space="preserve">10G-ZR DWDM, XFP, 80km, 1550.12 nm, Ch. 34, LC </t>
  </si>
  <si>
    <t>10GBASE-ZR DWDM, XFP optic, 80km, 1549.32 nm, Channel 35, LC connector</t>
  </si>
  <si>
    <t xml:space="preserve">10G-ZR DWDM, XFP, 80km, 1549.32 nm, Ch. 35, LC </t>
  </si>
  <si>
    <t>10GBASE-ZR DWDM, XFP optic, 80km, 1548.51 nm, Channel 36, LC connector</t>
  </si>
  <si>
    <t xml:space="preserve">10G-ZR DWDM, XFP, 80km, 1548.51 nm, Ch. 36, LC </t>
  </si>
  <si>
    <t>10GBASE-ZR DWDM, XFP optic, 80km, 1547.72 nm, Channel 37, LC connector</t>
  </si>
  <si>
    <t xml:space="preserve">10G-ZR DWDM, XFP, 80km, 1547.72 nm, Ch. 37, LC </t>
  </si>
  <si>
    <t>10GBASE-ZR DWDM, XFP optic, 80km, 1546.92 nm, Channel 38, LC connector</t>
  </si>
  <si>
    <t xml:space="preserve">10G-ZR DWDM, XFP, 80km, 1546.92 nm, Ch. 38, LC </t>
  </si>
  <si>
    <t>10GBASE-ZR DWDM, XFP optic, 80km, 1546.12 nm, Channel 39, LC connector</t>
  </si>
  <si>
    <t xml:space="preserve">10G-ZR DWDM, XFP, 80km, 1546.12 nm, Ch. 39, LC </t>
  </si>
  <si>
    <t>10GBASE-ZR DWDM, XFP optic, 80km, 1545.32 nm, Channel 40, LC connector</t>
  </si>
  <si>
    <t xml:space="preserve">10G-ZR DWDM, XFP, 80km, 1545.32 nm, Ch. 40, LC </t>
  </si>
  <si>
    <t>10GBASE-ZR DWDM, XFP optic, 80km, 1544.53 nm, Channel 41, LC connector</t>
  </si>
  <si>
    <t xml:space="preserve">10G-ZR DWDM, XFP, 80km, 1544.53 nm, Ch. 41, LC </t>
  </si>
  <si>
    <t>10GBASE-ZR DWDM, XFP optic, 80km, 1543.73 nm, Channel 42, LC connector</t>
  </si>
  <si>
    <t xml:space="preserve">10G-ZR DWDM, XFP, 80km, 1543.73 nm, Ch. 42, LC </t>
  </si>
  <si>
    <t>10GBASE-ZR DWDM, XFP optic, 80km, 1542.94 nm, Channel 43, LC connector</t>
  </si>
  <si>
    <t xml:space="preserve">10G-ZR DWDM, XFP, 80km, 1542.94 nm, Ch. 43, LC </t>
  </si>
  <si>
    <t>10GBASE-ZR DWDM, XFP optic, 80km, 1542.14 nm, Channel 44, LC connector</t>
  </si>
  <si>
    <t xml:space="preserve">10G-ZR DWDM, XFP, 80km, 1542.14 nm, Ch. 44, LC </t>
  </si>
  <si>
    <t>10GBASE-ZR DWDM, XFP optic, 80km, 1541.35 nm, Channel 45, LC connector</t>
  </si>
  <si>
    <t xml:space="preserve">10G-ZR DWDM, XFP, 80km, 1541.35 nm, Ch. 45, LC </t>
  </si>
  <si>
    <t>10GBASE-ZR DWDM, XFP optic, 80km, 1540.56 nm, Channel 46, LC connector</t>
  </si>
  <si>
    <t xml:space="preserve">10G-ZR DWDM, XFP, 80km, 1540.56 nm, Ch. 46, LC </t>
  </si>
  <si>
    <t>10GBASE-ZR DWDM, XFP optic, 80km, 1539.77 nm, Channel 47, LC connector</t>
  </si>
  <si>
    <t xml:space="preserve">10G-ZR DWDM, XFP, 80km, 1539.77 nm, Ch. 47, LC </t>
  </si>
  <si>
    <t>10GBASE-ZR DWDM, XFP optic, 80km, 1538.98 nm, Channel 48, LC connector</t>
  </si>
  <si>
    <t xml:space="preserve">10G-ZR DWDM, XFP, 80km, 1538.98 nm, Ch. 48, LC </t>
  </si>
  <si>
    <t>10GBASE-ZR DWDM, XFP optic, 80km, 1538.19 nm, Channel 49, LC connector</t>
  </si>
  <si>
    <t xml:space="preserve">10G-ZR DWDM, XFP, 80km, 1538.19 nm, Ch. 49, LC </t>
  </si>
  <si>
    <t>10GBASE-ZR DWDM, XFP optic, 80km, 1537.40 nm, Channel 50, LC connector</t>
  </si>
  <si>
    <t xml:space="preserve">10G-ZR DWDM, XFP, 80km, 1537.40 nm, Ch. 50, LC </t>
  </si>
  <si>
    <t>10GBASE-ZR DWDM, XFP optic, 80km, 1536.61 nm, Channel 51, LC connector</t>
  </si>
  <si>
    <t xml:space="preserve">10G-ZR DWDM, XFP, 80km, 1536.61 nm, Ch. 51, LC </t>
  </si>
  <si>
    <t>10GBASE-ZR DWDM, XFP optic, 80km, 1535.82 nm, Channel 52, LC connector</t>
  </si>
  <si>
    <t xml:space="preserve">10G-ZR DWDM, XFP, 80km, 1535.82 nm, Ch. 52, LC </t>
  </si>
  <si>
    <t>10GBASE-ZR DWDM, XFP optic, 80km, 1535.04 nm, Channel 53, LC connector</t>
  </si>
  <si>
    <t xml:space="preserve">10G-ZR DWDM, XFP, 80km, 1535.04 nm, Ch. 53, LC </t>
  </si>
  <si>
    <t>10GBASE-ZR DWDM, XFP optic, 80km, 1534.25 nm, Channel 54, LC connector</t>
  </si>
  <si>
    <t xml:space="preserve">10G-ZR DWDM, XFP, 80km, 1534.25 nm, Ch. 54, LC </t>
  </si>
  <si>
    <t>10GBASE-ZR DWDM, XFP optic, 80km, 1533.47 nm, Channel 55, LC connector</t>
  </si>
  <si>
    <t xml:space="preserve">10G-ZR DWDM, XFP, 80km, 1533.47 nm, Ch. 55, LC </t>
  </si>
  <si>
    <t>10GBASE-ZR DWDM, XFP optic, 80km, 1532.68 nm, Channel 56, LC connector</t>
  </si>
  <si>
    <t xml:space="preserve">10G-ZR DWDM, XFP, 80km, 1532.68 nm, Ch. 56, LC </t>
  </si>
  <si>
    <t>10GBASE-ZR DWDM, XFP optic, 80km, 1531.90 nm, Channel 57, LC connector</t>
  </si>
  <si>
    <t xml:space="preserve">10G-ZR DWDM, XFP, 80km, 1531.90 nm, Ch. 57, LC </t>
  </si>
  <si>
    <t>10GBASE-ZR DWDM, XFP optic, 80km, 1531.12 nm, Channel 58, LC connector</t>
  </si>
  <si>
    <t xml:space="preserve">10G-ZR DWDM, XFP, 80km, 1531.12 nm, Ch. 58, LC </t>
  </si>
  <si>
    <t>10GBASE-ZR DWDM, XFP optic, 80km, 1530.33 nm, Channel 59, LC connector</t>
  </si>
  <si>
    <t xml:space="preserve">10G-ZR DWDM, XFP, 80km, 1530.33 nm, Ch. 59, LC </t>
  </si>
  <si>
    <t>2-port 10GbE XFP module</t>
  </si>
  <si>
    <t>CX4 Cable for use with 10GbE CX4 ports. Distance is 50cm or 0.5m.</t>
  </si>
  <si>
    <t>50cm (0.5m) CX4 Cable</t>
  </si>
  <si>
    <t>POE Add-in DIMM provides power for 24 ports of 10/100/1000.  Used with the FGS624P and FGS648P and respective DC versions. The FGS648P requires 2 POE DIMMs to enable all 48-ports for POE.</t>
  </si>
  <si>
    <t>POE Add-in Card</t>
  </si>
  <si>
    <t>600W,  AC PS FGS Only</t>
  </si>
  <si>
    <t>600W, DC power supply for FGS624P, FGS648P, FGS624P-POE, FGS648P-POE and respective DC versions only</t>
  </si>
  <si>
    <t>600W,  DC PS FGS Only</t>
  </si>
  <si>
    <t>NI XMR/MLX AC power supply for 16- and 8-slot chassis</t>
  </si>
  <si>
    <t>NI XMR/MLX AC power supply for 4-slot chassis</t>
  </si>
  <si>
    <t>NI XMR/MLX DC power supply for 16- and 8-slot chassis</t>
  </si>
  <si>
    <t>NI XMR/MLX DC power supply for 4-slot chassis</t>
  </si>
  <si>
    <t>NI XMR/MLX 16-Slot Chassis intake fan assembly</t>
  </si>
  <si>
    <t>NI XMR/MLX 16-Slot Chassis exhaust fan assembly (includes two fans)</t>
  </si>
  <si>
    <t>NI XMR/MLX 8-Slot chassis fan assembly</t>
  </si>
  <si>
    <t>NI XMR/MLX 4-Slot chassis fan assembly</t>
  </si>
  <si>
    <t>NI XMR/MLX 16-Slot air filter</t>
  </si>
  <si>
    <t>Field upgradeable 1-port 10GbE XFP expansion module</t>
  </si>
  <si>
    <t>1-port 10GbE XFP module</t>
  </si>
  <si>
    <t>Field upgradeable 2-port 10GbE XFP expansion module</t>
  </si>
  <si>
    <t>10GBASE-CX4, XFP module,15m, CX4 connector</t>
  </si>
  <si>
    <t>Redundant power supply (220W) for the FESX424</t>
  </si>
  <si>
    <t>RPS (220W) FESX424 only</t>
  </si>
  <si>
    <t>Redundant DC power supply (600W) for the FESX424</t>
  </si>
  <si>
    <t>RPS DC PS (600W) FESX424 only</t>
  </si>
  <si>
    <t>Layer 3 software upgrade for the FESX424 and the FESX424HF.</t>
  </si>
  <si>
    <t>Redundant power supply (600W) for the FES X448</t>
  </si>
  <si>
    <t>RPS (600W) for the FES X448</t>
  </si>
  <si>
    <t>L3 upgrade for the FES X448</t>
  </si>
  <si>
    <t>FWSX424 L2 SW, 24 10/100/1000 ports (RJ-45) with 4-port SFP, &amp; 1 AC PS.</t>
  </si>
  <si>
    <t>FWSX424 L2 SW, 24 10/100/1000 ports (RJ-45), 4-port SFP, &amp; 1 DC PS.</t>
  </si>
  <si>
    <t>FWSX424 L2 SW, 24 10/100/1000 ports (RJ-45) with 4-port SFP, 1-slot XFP, &amp; 1 AC PS.</t>
  </si>
  <si>
    <t>FWSX424 L2 SW, 24 10/100/1000 ports (RJ-45), 4-port SFP, 1-slot XFP, &amp; 1 DC PS.</t>
  </si>
  <si>
    <t>FWSX424 L2 SW, 24 10/100/1000 ports (RJ-45) with 4-port SFP, 2-slot XFP, &amp; 1 AC PS.</t>
  </si>
  <si>
    <t>FWSX424 L2 SW, 24 10/100/1000 ports (RJ-45), 4-port SFP, 2-slot XFP, &amp; 1 DC PS.</t>
  </si>
  <si>
    <t>FWSX448 L2 SW 48 10/100/1000 ports (RJ-45) with 4-port SFP, &amp; 1 AC PS.</t>
  </si>
  <si>
    <t>FWSX448 Base L3 SW, 24 10/100/1000 ports (RJ-45) with 4-port Combo, &amp; 1 DC PS.</t>
  </si>
  <si>
    <t>FWSX448 L2 SW, 48 10/100/1000 ports (RJ-45) with 4-port SFP, 1-slot XFP &amp; 1 AC PS.</t>
  </si>
  <si>
    <t>FWSX448 Base L3 SW, 48-port 10/100/1000 (RJ-45) with 4-port Combo, 1-port XFP 10GbE, &amp; 1 DC PS.</t>
  </si>
  <si>
    <t>FWSX448 L2 SW, 48 10/100/1000 ports (RJ-45) with 4-port SFP, 2-slot XFP, &amp; 1 AC PS.</t>
  </si>
  <si>
    <t>FWSX448 Base L3 SW, 48-port 10/100/1000 (RJ-45) with 4-port Combo, 2-port XFP 10GbE, &amp; 1 DC PS.</t>
  </si>
  <si>
    <t>Redundant power supply (220W) for the FESX424 and FWSX424</t>
  </si>
  <si>
    <t>Redundant DC power supply (600W) for the FESX424 and FWSX424</t>
  </si>
  <si>
    <t>Redundant power supply (600W) for the FES X448 and FWSX448</t>
  </si>
  <si>
    <t>Category</t>
  </si>
  <si>
    <t>A</t>
  </si>
  <si>
    <t>Redundant power supply for the FLS624, FLS648, EIF2402CF, EIF4802CF, EIF24GA, EIF24G-A, EIF48G, AND EIF8X10G</t>
  </si>
  <si>
    <t>C</t>
  </si>
  <si>
    <t xml:space="preserve">1-port XFP 10 Gigabit Ethernet module for the FLS 624 and the FLS 648. </t>
  </si>
  <si>
    <t>100BaseFX-IR SFP optic for SMF with LC connector. For distances up to 15Km.</t>
  </si>
  <si>
    <t>100Base-FX LR SFP optic for SMF with LC connector. For distances up to 40Km.</t>
  </si>
  <si>
    <t>Pluggable XFP transceiver (LC), 1310 nm serial with EDC, up to 200 meters multi-mode fiber (MMF)</t>
  </si>
  <si>
    <t>Pluggable XFP transceiver (LC), 1310 nm, 200 meters MMF</t>
  </si>
  <si>
    <t>Power Cord, China, IEC309 TO C13, 10A, 110V, 2.5M</t>
  </si>
  <si>
    <t>600W, AC power supply for FGS624P, FGS648P, FGS624P-POE, FGS648P-POE and respective AC versions only</t>
  </si>
  <si>
    <t>2-port CX4 FISX module bundle</t>
  </si>
  <si>
    <t>2 GB SIMM Memory Upgrade for RX-BI-MR Field Replacement Upgrade. This part is for upgrading RX-BI-MR modules in the field from 512MB to 2GB SIMM.</t>
  </si>
  <si>
    <t>B</t>
  </si>
  <si>
    <t>POS OC-192 (STM-64) SR-1 pluggable XFP optic (LC connector). Range up to 2 km over SMF.</t>
  </si>
  <si>
    <t>POS OC-192 (STM-64) IR-2 pluggable XFP optic (LC connector). Range up to 40 km over SMF.</t>
  </si>
  <si>
    <t>POS OC-48 (STM-16) SR-1 pluggable SFP optic (LC connector). Range up to 2 km over SMF.</t>
  </si>
  <si>
    <t>POS OC-48 (STM-16) IR-1 pluggable SFP optic (LC connector). Range up to 15 km over SMF.</t>
  </si>
  <si>
    <t>POS OC-48 (STM-16) LR-1 pluggable SFP optic (LC connector). Range up to 40 km over SMF.</t>
  </si>
  <si>
    <t>POS OC-48 (STM-16) LR-2 pluggable SFP optic (LC connector). Range up to 80 km over SMF.</t>
  </si>
  <si>
    <t>POS OC-12 (STM-4) SR-1/IR-1 pluggable SFP optic (LC connector). Range up to 15 km over SMF. No attenuator needed for SR-1 appliations.</t>
  </si>
  <si>
    <t>POS OC-12 (STM-4) LR-1 pluggable SFP optic (LC connector). Range up to 40 km over SMF.</t>
  </si>
  <si>
    <t>POS OC-12 (STM-4) LR-2 pluggable SFP optic (LC connector). Range up to 80 km over SMF.</t>
  </si>
  <si>
    <t>1000Base-LHA SFP optic, SMF, LC connector</t>
  </si>
  <si>
    <t>10GBASE-LW 1310nm serial plugable XENPAK WAN PHY optic only (SC) for up to 10km over SMF OC-192 format</t>
  </si>
  <si>
    <t>10GBASE-LW 1310nm XENPAK WAN PHY optic OC-192</t>
  </si>
  <si>
    <t>10GBASE-ZR DWDM, XENPAK optic, 80km, 1561.42 nm, Channel 20, SC connector</t>
  </si>
  <si>
    <t>Item</t>
  </si>
  <si>
    <t>24-Port 10/100 with 2-Port GbE Combo RJ-45 (Copper) and SFP (Fiber)</t>
  </si>
  <si>
    <t>EIF 24 10/100 + 2 Combo GbE</t>
  </si>
  <si>
    <t xml:space="preserve">48-Port 10/100 with 2-Port GbE Combo RJ-45 (Copper) and SFP (Fiber) </t>
  </si>
  <si>
    <t>EIF 48 10/100 + 2 Combo GbE</t>
  </si>
  <si>
    <t>20 FE/1000 + 4 C/F GbE</t>
  </si>
  <si>
    <t>48-port 10/100/1000 with up to 4-port combo SFP slots</t>
  </si>
  <si>
    <t>850nm serial pluggable XFP optic (LC), target range 300m over MMF</t>
  </si>
  <si>
    <t>10GbE SR XFP, MMF, LC</t>
  </si>
  <si>
    <t>1310nm serial pluggable XFP optic (LC) for up to 10km over SMF</t>
  </si>
  <si>
    <t>10GbE LR XFP, SMF, LC</t>
  </si>
  <si>
    <t>1550nm serial pluggable XFP optic (LC) for up to 40km over SMF</t>
  </si>
  <si>
    <t>10GbE ER XFP optics, SMF, LC connector</t>
  </si>
  <si>
    <t>10GBASE-CX4 10-GbE XENPAK copper transceiver; supports distance of 15m over Infiniband cable</t>
  </si>
  <si>
    <t>850nm serial  XENPAK plug-in transceiver (SC), target range of 300m over MMF</t>
  </si>
  <si>
    <t>850NM  XENPAK optic</t>
  </si>
  <si>
    <t>1310nm serial plugable XENPAK optic only (SC) for up to 10km over SMF</t>
  </si>
  <si>
    <t>1310nm XENPAK optic</t>
  </si>
  <si>
    <t>10GBASE-LX4 WWDM four parallel signals plugable XENPAK LAN PHY optic (SC) for up to 10km over SMF or 300m FDDI-grade MMF</t>
  </si>
  <si>
    <t>10GBASE-LX4 WWDM XENPAK LAN PHY 300m MMF 10km SMF</t>
  </si>
  <si>
    <t>1550nm serial plugable XENPAK optic only (SC) for up to 40km over SMF</t>
  </si>
  <si>
    <t>1550nm XENPAK optic</t>
  </si>
  <si>
    <t>1000BaseSX SFP optic MMF, LC connector</t>
  </si>
  <si>
    <t>SX MMF SFP</t>
  </si>
  <si>
    <t>1000BaseLX SFP optic SMF, LC connector</t>
  </si>
  <si>
    <t>LX SMF SFP</t>
  </si>
  <si>
    <t>1000BaseLHA SFP optic SMF, LC connector</t>
  </si>
  <si>
    <t>LHA SMF SFP</t>
  </si>
  <si>
    <t>80Km, 1470nm, LC connector</t>
  </si>
  <si>
    <t>80Km, 1490nm, LC connector</t>
  </si>
  <si>
    <t>80Km, 1510nm, LC connector</t>
  </si>
  <si>
    <t>80Km, 1530nm, LC connector</t>
  </si>
  <si>
    <t>80Km, 1550nm, LC connector</t>
  </si>
  <si>
    <t>80Km, 1570nm, LC connector</t>
  </si>
  <si>
    <t>80Km, 1590nm, LC connector</t>
  </si>
  <si>
    <t>80Km, 1610nm, LC connector</t>
  </si>
  <si>
    <t>24-port 10/100Base-TX (RJ45) plus 2-port 1000Base-T and 1000Base-X (SFP) with AC power supply</t>
  </si>
  <si>
    <t>24p 2 C/F w 1 AC</t>
  </si>
  <si>
    <t>48-port 10/100Base-TX (RJ45) plus 2-port 1000Base-T and 1000Base-X (SFP) with AC power supply</t>
  </si>
  <si>
    <t>48p, 2 C/F &amp; 1 AC</t>
  </si>
  <si>
    <t>96-port 10/100Base-TX (RJ45) plus 4-port 1000Base-T and 1000Base-X (SFP) with AC power supply</t>
  </si>
  <si>
    <t>96p, 4 C/F &amp; AC</t>
  </si>
  <si>
    <t>24-port 10/100Base-TX (RJ45) plus 2-port 1000Base-T and 1000Base-X (SFP) with -48vDC power supply</t>
  </si>
  <si>
    <t>24p, 2 C/F &amp; 1 DC</t>
  </si>
  <si>
    <t>48-port 10/100Base-TX (RJ45) plus 2-port 1000Base-T and 1000Base-X (SFP) with -48vDC power supply</t>
  </si>
  <si>
    <t>48p, 2 C/F &amp; 1 DC</t>
  </si>
  <si>
    <t>96-port 10/100Base-TX (RJ45) plus 4-port 1000Base-T and 1000Base-X (SFP) with -48vDC power supply</t>
  </si>
  <si>
    <t>96p, 4 C/F &amp; DC</t>
  </si>
  <si>
    <t>Prem 24p, 2 C/F &amp; 1 AC</t>
  </si>
  <si>
    <t>Prem 48p, 2 C/F &amp; 1 AC</t>
  </si>
  <si>
    <t>Prem 96p, 4 C/F &amp; AC</t>
  </si>
  <si>
    <t>Prem 24p, 2 C/F &amp; 1 DC</t>
  </si>
  <si>
    <t>Prem 48p, 2 C/F &amp; 1 DC</t>
  </si>
  <si>
    <t>Prem 96p, 4 C/F &amp; DC</t>
  </si>
  <si>
    <t>12G C/F w 1 AC</t>
  </si>
  <si>
    <t>12G C/F w 1 DC</t>
  </si>
  <si>
    <t>12G C/F Prem w 1 AC</t>
  </si>
  <si>
    <t>12G C/F Prem w 1 DC</t>
  </si>
  <si>
    <t>POE 24p 2-GCF</t>
  </si>
  <si>
    <t>48 10/100B PoE, 2 SFP, 1 AC PS.</t>
  </si>
  <si>
    <t>POE L3 Prem</t>
  </si>
  <si>
    <t>L3 48 10/100B PoE, 2 SFP,  1 AC PS</t>
  </si>
  <si>
    <t>L3 Upgrade</t>
  </si>
  <si>
    <t>L3 upgrade</t>
  </si>
  <si>
    <t xml:space="preserve">L3 Upgrade </t>
  </si>
  <si>
    <t>220W, DC PS for FES &amp; FWS4802</t>
  </si>
  <si>
    <t>1000Base-LHB SFP optic, SMF, LC connector, 150km Maximum reach</t>
  </si>
  <si>
    <t>LHB SMF SFP LC</t>
  </si>
  <si>
    <t>1000Base-SX SFP optic, MMF, LC connector</t>
  </si>
  <si>
    <t>1000Base-SX MMF SFP LC</t>
  </si>
  <si>
    <t>1000Base-SX SFP optic, MMF, MTRJ connector</t>
  </si>
  <si>
    <t>1000Base-SX MMF SFP MTRJ</t>
  </si>
  <si>
    <t xml:space="preserve">1000Base-LHA SFP optic, SMF, LC connector </t>
  </si>
  <si>
    <t>1000Base-LX SMF SFP LC</t>
  </si>
  <si>
    <t xml:space="preserve">FGS624XGP includes 24-port 10/100/1000 that are PoE upgradeable with 4-port 100/1000 Combo copper/fiber, 1-port XFP 10GbE and one RPS. </t>
  </si>
  <si>
    <t xml:space="preserve">FGS624XGP-POE includes 24-port 10/100/1000 PoE with 4-port 100/1000 Combo copper/fiber, 1-port XFP 10GbE and one RPS. </t>
  </si>
  <si>
    <t>Cost</t>
  </si>
  <si>
    <t>Discount Category</t>
  </si>
  <si>
    <t>D</t>
  </si>
  <si>
    <t>EIF-CZ-73600</t>
  </si>
  <si>
    <t>EIF-CZ-97375</t>
  </si>
  <si>
    <t>EIF-A-64872</t>
  </si>
  <si>
    <t>EIF-CZ-48270</t>
  </si>
  <si>
    <t>EIF-CZ-66531</t>
  </si>
  <si>
    <t>10G-XF-75398</t>
  </si>
  <si>
    <t>10G-XF-96371</t>
  </si>
  <si>
    <t>10G-XF-92273</t>
  </si>
  <si>
    <t>E1M-SX-85914</t>
  </si>
  <si>
    <t>E1M-LX-85720</t>
  </si>
  <si>
    <t>E1M-LH-64896</t>
  </si>
  <si>
    <t>E1M-CW-32246</t>
  </si>
  <si>
    <t>E1M-CW-78899</t>
  </si>
  <si>
    <t>E1M-CW-72258</t>
  </si>
  <si>
    <t>E1M-CW-28966</t>
  </si>
  <si>
    <t>E1M-CW-36738</t>
  </si>
  <si>
    <t>E1M-CW-40232</t>
  </si>
  <si>
    <t>E1M-CW-28783</t>
  </si>
  <si>
    <t>E1M-CW-31995</t>
  </si>
  <si>
    <t>FES-CZ-51280</t>
  </si>
  <si>
    <t>FES-CZ-23915</t>
  </si>
  <si>
    <t>FES-CZ-65136</t>
  </si>
  <si>
    <t>FES-DC-62571</t>
  </si>
  <si>
    <t>FES-DC-25460</t>
  </si>
  <si>
    <t>FES-DC-59060</t>
  </si>
  <si>
    <t>FES-PR-77806</t>
  </si>
  <si>
    <t>FES-PR-91987</t>
  </si>
  <si>
    <t>FES-PR-88772</t>
  </si>
  <si>
    <t>FES-PR-27658</t>
  </si>
  <si>
    <t>FES-PR-84308</t>
  </si>
  <si>
    <t>FES-PR-78728</t>
  </si>
  <si>
    <t>FES-WL-42909</t>
  </si>
  <si>
    <t>FES-WL-97334</t>
  </si>
  <si>
    <t>FES-WL-57764</t>
  </si>
  <si>
    <t>FES-WL-69103</t>
  </si>
  <si>
    <t>FES-WL-85721</t>
  </si>
  <si>
    <t>FES-WL-84668</t>
  </si>
  <si>
    <t>FES-PO-81088</t>
  </si>
  <si>
    <t>FES-PO-24400</t>
  </si>
  <si>
    <t>FES-CZ-78088</t>
  </si>
  <si>
    <t>FES-CZ-44941</t>
  </si>
  <si>
    <t>FES-DC-92979</t>
  </si>
  <si>
    <t>FES-PR-63235</t>
  </si>
  <si>
    <t>FES-PR-76605</t>
  </si>
  <si>
    <t>FES-PO-55523</t>
  </si>
  <si>
    <t>FES-PO-31560</t>
  </si>
  <si>
    <t>FES-PO-48160</t>
  </si>
  <si>
    <t>FES-PO-81878</t>
  </si>
  <si>
    <t>FES-2-59994</t>
  </si>
  <si>
    <t>FES-4-97028</t>
  </si>
  <si>
    <t>FES-9-62605</t>
  </si>
  <si>
    <t>FES-L3-49697</t>
  </si>
  <si>
    <t>RPS-CZ-43868</t>
  </si>
  <si>
    <t>RPS-CZ-36179</t>
  </si>
  <si>
    <t>RPS-CZ-57361</t>
  </si>
  <si>
    <t>RPS-FE-30656</t>
  </si>
  <si>
    <t>RPS-18-67088</t>
  </si>
  <si>
    <t>E1M-LH-56790</t>
  </si>
  <si>
    <t>E1M-SX-53214</t>
  </si>
  <si>
    <t>E1M-SX-57975</t>
  </si>
  <si>
    <t>E1M-LH-78351</t>
  </si>
  <si>
    <t>FLS-CZ-80908</t>
  </si>
  <si>
    <t>FLS-CZ-46572</t>
  </si>
  <si>
    <t>FLS-1X-89837</t>
  </si>
  <si>
    <t>RPS-EI-54268</t>
  </si>
  <si>
    <t>E1M-10-77189</t>
  </si>
  <si>
    <t>E1M-10-51618</t>
  </si>
  <si>
    <t>E1M-10-31986</t>
  </si>
  <si>
    <t>E1M-10-81590</t>
  </si>
  <si>
    <t>E1M-10-75822</t>
  </si>
  <si>
    <t>E1M-TX-48613</t>
  </si>
  <si>
    <t>E1M-SX-91957</t>
  </si>
  <si>
    <t>E1M-SX-80687</t>
  </si>
  <si>
    <t>E1M-SX-82305</t>
  </si>
  <si>
    <t>E1M-LX-86809</t>
  </si>
  <si>
    <t>E1M-BX-64987</t>
  </si>
  <si>
    <t>E1M-BX-79394</t>
  </si>
  <si>
    <t>E1M-CW-44071</t>
  </si>
  <si>
    <t>E1M-CW-69358</t>
  </si>
  <si>
    <t>E1M-CW-67323</t>
  </si>
  <si>
    <t>E1M-CW-53176</t>
  </si>
  <si>
    <t>E1M-CW-89800</t>
  </si>
  <si>
    <t>E1M-CW-84985</t>
  </si>
  <si>
    <t>E1M-CW-35258</t>
  </si>
  <si>
    <t>E1M-CW-68120</t>
  </si>
  <si>
    <t>E1M-LH-99805</t>
  </si>
  <si>
    <t>E1M-LH-73354</t>
  </si>
  <si>
    <t>10G-XF-62661</t>
  </si>
  <si>
    <t>10G-XF-98155</t>
  </si>
  <si>
    <t>10G-XF-79897</t>
  </si>
  <si>
    <t>10G-XF-61433</t>
  </si>
  <si>
    <t>10G-XF-38648</t>
  </si>
  <si>
    <t>10G-XF-61812</t>
  </si>
  <si>
    <t>10G-XF-92047</t>
  </si>
  <si>
    <t>10G-XF-26000</t>
  </si>
  <si>
    <t>10G-XF-50777</t>
  </si>
  <si>
    <t>10G-XF-99668</t>
  </si>
  <si>
    <t>10G-XF-59709</t>
  </si>
  <si>
    <t>10G-XF-36643</t>
  </si>
  <si>
    <t>10G-XF-86769</t>
  </si>
  <si>
    <t>10G-XF-56484</t>
  </si>
  <si>
    <t>10G-XF-34035</t>
  </si>
  <si>
    <t>10G-XF-48318</t>
  </si>
  <si>
    <t>10G-XF-51192</t>
  </si>
  <si>
    <t>10G-XF-55593</t>
  </si>
  <si>
    <t>10G-XF-82036</t>
  </si>
  <si>
    <t>10G-XF-35599</t>
  </si>
  <si>
    <t>10G-XF-77525</t>
  </si>
  <si>
    <t>10G-XF-94223</t>
  </si>
  <si>
    <t>10G-XF-58211</t>
  </si>
  <si>
    <t>10G-XF-86147</t>
  </si>
  <si>
    <t>10G-XF-63500</t>
  </si>
  <si>
    <t>10G-XF-47148</t>
  </si>
  <si>
    <t>10G-XF-34351</t>
  </si>
  <si>
    <t>10G-XF-50242</t>
  </si>
  <si>
    <t>10G-XF-56595</t>
  </si>
  <si>
    <t>10G-XF-95499</t>
  </si>
  <si>
    <t>10G-XF-83512</t>
  </si>
  <si>
    <t>10G-XF-24498</t>
  </si>
  <si>
    <t>10G-XF-32043</t>
  </si>
  <si>
    <t>10G-XF-60676</t>
  </si>
  <si>
    <t>10G-XF-52548</t>
  </si>
  <si>
    <t>10G-XF-34421</t>
  </si>
  <si>
    <t>10G-XF-43687</t>
  </si>
  <si>
    <t>10G-XF-36720</t>
  </si>
  <si>
    <t>10G-XF-40701</t>
  </si>
  <si>
    <t>10G-XF-88654</t>
  </si>
  <si>
    <t>10G-XF-89147</t>
  </si>
  <si>
    <t>10G-XF-63068</t>
  </si>
  <si>
    <t>10G-XF-83363</t>
  </si>
  <si>
    <t>10G-XF-53315</t>
  </si>
  <si>
    <t>10G-XF-59817</t>
  </si>
  <si>
    <t>10G-XF-60274</t>
  </si>
  <si>
    <t>PCC-IE-69096</t>
  </si>
  <si>
    <t>FGS-CZ-89899</t>
  </si>
  <si>
    <t>FGS-DC-83646</t>
  </si>
  <si>
    <t>FGS-PO-78490</t>
  </si>
  <si>
    <t>FGS-PO-44567</t>
  </si>
  <si>
    <t>FGS-CZ-59159</t>
  </si>
  <si>
    <t>FGS-PO-25333</t>
  </si>
  <si>
    <t>FGS-CZ-41478</t>
  </si>
  <si>
    <t>FGS-DC-80987</t>
  </si>
  <si>
    <t>FGS-PO-43720</t>
  </si>
  <si>
    <t>FGS-PO-76847</t>
  </si>
  <si>
    <t>FGS-24-41813</t>
  </si>
  <si>
    <t>FGS-2X-33711</t>
  </si>
  <si>
    <t>FGS-2X-50345</t>
  </si>
  <si>
    <t>FGS-1X-44518</t>
  </si>
  <si>
    <t>RPS-FG-63218</t>
  </si>
  <si>
    <t>RPS-FG-33746</t>
  </si>
  <si>
    <t>RPS-18-39014</t>
  </si>
  <si>
    <t>FGS-LB-59518</t>
  </si>
  <si>
    <t>CAB-CX-65607</t>
  </si>
  <si>
    <t>E1M-10-41963</t>
  </si>
  <si>
    <t>E1M-10-37646</t>
  </si>
  <si>
    <t>E1M-10-78300</t>
  </si>
  <si>
    <t>E1M-10-53741</t>
  </si>
  <si>
    <t>E1M-10-44019</t>
  </si>
  <si>
    <t>E1M-TX-48260</t>
  </si>
  <si>
    <t>E1M-SX-65408</t>
  </si>
  <si>
    <t>E1M-SX-98915</t>
  </si>
  <si>
    <t>E1M-SX-38762</t>
  </si>
  <si>
    <t>E1M-LX-64681</t>
  </si>
  <si>
    <t>E1M-BX-86831</t>
  </si>
  <si>
    <t>E1M-BX-72699</t>
  </si>
  <si>
    <t>E1M-CW-57377</t>
  </si>
  <si>
    <t>E1M-CW-49028</t>
  </si>
  <si>
    <t>E1M-CW-73514</t>
  </si>
  <si>
    <t>E1M-CW-51835</t>
  </si>
  <si>
    <t>E1M-CW-45986</t>
  </si>
  <si>
    <t>E1M-CW-62118</t>
  </si>
  <si>
    <t>E1M-CW-93491</t>
  </si>
  <si>
    <t>E1M-LH-42878</t>
  </si>
  <si>
    <t>E1M-LH-34963</t>
  </si>
  <si>
    <t>10G-XF-44977</t>
  </si>
  <si>
    <t>10G-XF-77673</t>
  </si>
  <si>
    <t>10G-XF-55983</t>
  </si>
  <si>
    <t>10G-XF-57949</t>
  </si>
  <si>
    <t>10G-XF-69040</t>
  </si>
  <si>
    <t>10G-XF-89898</t>
  </si>
  <si>
    <t>10G-XF-52881</t>
  </si>
  <si>
    <t>10G-XF-93631</t>
  </si>
  <si>
    <t>10G-XF-79463</t>
  </si>
  <si>
    <t>10G-XF-55959</t>
  </si>
  <si>
    <t>10G-XF-50615</t>
  </si>
  <si>
    <t>10G-XF-69273</t>
  </si>
  <si>
    <t>10G-XF-31951</t>
  </si>
  <si>
    <t>10G-XF-85850</t>
  </si>
  <si>
    <t>10G-XF-35929</t>
  </si>
  <si>
    <t>10G-XF-27983</t>
  </si>
  <si>
    <t>10G-XF-90726</t>
  </si>
  <si>
    <t>10G-XF-54418</t>
  </si>
  <si>
    <t>10G-XF-69442</t>
  </si>
  <si>
    <t>10G-XF-50864</t>
  </si>
  <si>
    <t>10G-XF-52460</t>
  </si>
  <si>
    <t>10G-XF-32313</t>
  </si>
  <si>
    <t>10G-XF-80304</t>
  </si>
  <si>
    <t>10G-XF-89633</t>
  </si>
  <si>
    <t>10G-XF-67863</t>
  </si>
  <si>
    <t>10G-XF-76037</t>
  </si>
  <si>
    <t>10G-XF-23868</t>
  </si>
  <si>
    <t>10G-XF-71218</t>
  </si>
  <si>
    <t>10G-XF-73800</t>
  </si>
  <si>
    <t>10G-XF-73276</t>
  </si>
  <si>
    <t>10G-XF-89495</t>
  </si>
  <si>
    <t>10G-XF-45358</t>
  </si>
  <si>
    <t>10G-XF-31993</t>
  </si>
  <si>
    <t>10G-XF-54684</t>
  </si>
  <si>
    <t>10G-XF-48141</t>
  </si>
  <si>
    <t>10G-XF-29195</t>
  </si>
  <si>
    <t>10G-XF-34947</t>
  </si>
  <si>
    <t>10G-XF-93529</t>
  </si>
  <si>
    <t>10G-XF-82984</t>
  </si>
  <si>
    <t>10G-XF-34004</t>
  </si>
  <si>
    <t>10G-XF-31439</t>
  </si>
  <si>
    <t>10G-XF-65137</t>
  </si>
  <si>
    <t>10G-XF-95664</t>
  </si>
  <si>
    <t>10G-XF-48647</t>
  </si>
  <si>
    <t>10G-XF-59120</t>
  </si>
  <si>
    <t>10G-XF-31128</t>
  </si>
  <si>
    <t>FES-CZ-77317</t>
  </si>
  <si>
    <t>FES-PR-63866</t>
  </si>
  <si>
    <t>FES-DC-98050</t>
  </si>
  <si>
    <t>FES-PR-97582</t>
  </si>
  <si>
    <t>FES-CZ-96788</t>
  </si>
  <si>
    <t>FES-PR-70742</t>
  </si>
  <si>
    <t>FES-DC-93858</t>
  </si>
  <si>
    <t>FES-PR-91368</t>
  </si>
  <si>
    <t>FES-CZ-48879</t>
  </si>
  <si>
    <t>FES-PR-68068</t>
  </si>
  <si>
    <t>FES-DC-47890</t>
  </si>
  <si>
    <t>FES-PR-93670</t>
  </si>
  <si>
    <t>FES-CZ-95067</t>
  </si>
  <si>
    <t>FES-PR-40884</t>
  </si>
  <si>
    <t>FES-DC-91416</t>
  </si>
  <si>
    <t>FES-PR-31075</t>
  </si>
  <si>
    <t>FES-CZ-72188</t>
  </si>
  <si>
    <t>FES-DC-58445</t>
  </si>
  <si>
    <t>FES-PR-87271</t>
  </si>
  <si>
    <t>FES-PR-34683</t>
  </si>
  <si>
    <t>FES-CZ-42889</t>
  </si>
  <si>
    <t>FES-PR-53042</t>
  </si>
  <si>
    <t>FES-DC-76743</t>
  </si>
  <si>
    <t>FES-PR-30464</t>
  </si>
  <si>
    <t>FES-CZ-84569</t>
  </si>
  <si>
    <t>FES-PR-66481</t>
  </si>
  <si>
    <t>FES-DC-24055</t>
  </si>
  <si>
    <t>FES-PR-91541</t>
  </si>
  <si>
    <t>FES-CZ-24865</t>
  </si>
  <si>
    <t>FES-PR-89925</t>
  </si>
  <si>
    <t>FES-DC-26340</t>
  </si>
  <si>
    <t>FES-PR-80143</t>
  </si>
  <si>
    <t>FES-CZ-74610</t>
  </si>
  <si>
    <t>FES-PR-29019</t>
  </si>
  <si>
    <t>FES-DC-75802</t>
  </si>
  <si>
    <t>FES-PR-33661</t>
  </si>
  <si>
    <t>FES-PO-95786</t>
  </si>
  <si>
    <t>FES-PO-30227</t>
  </si>
  <si>
    <t>FES-PO-31559</t>
  </si>
  <si>
    <t>FES-PO-54145</t>
  </si>
  <si>
    <t>FES-PO-32835</t>
  </si>
  <si>
    <t>FES-PO-69985</t>
  </si>
  <si>
    <t>FES-PO-35178</t>
  </si>
  <si>
    <t>FES-PO-60693</t>
  </si>
  <si>
    <t>FES-PO-49423</t>
  </si>
  <si>
    <t>FES-PO-96105</t>
  </si>
  <si>
    <t>FES-PO-68961</t>
  </si>
  <si>
    <t>FES-PO-96020</t>
  </si>
  <si>
    <t>X4--1X-30218</t>
  </si>
  <si>
    <t>X4--2X-90449</t>
  </si>
  <si>
    <t>FES-L3-82943</t>
  </si>
  <si>
    <t>FES-L3-80005</t>
  </si>
  <si>
    <t>RPS-X4-83939</t>
  </si>
  <si>
    <t>RPS-X4-56884</t>
  </si>
  <si>
    <t>RPS-X4-45786</t>
  </si>
  <si>
    <t>RPS-X4-71566</t>
  </si>
  <si>
    <t>RPS-X4-45389</t>
  </si>
  <si>
    <t>RPS-18-66586</t>
  </si>
  <si>
    <t>10G-XF-52039</t>
  </si>
  <si>
    <t>10G-XF-25116</t>
  </si>
  <si>
    <t>10G-XF-97252</t>
  </si>
  <si>
    <t>10G-XF-66756</t>
  </si>
  <si>
    <t>10G-XF-90292</t>
  </si>
  <si>
    <t>10G-XF-91282</t>
  </si>
  <si>
    <t>10G-XF-92201</t>
  </si>
  <si>
    <t>10G-XF-86639</t>
  </si>
  <si>
    <t>10G-XF-47979</t>
  </si>
  <si>
    <t>10G-XF-99152</t>
  </si>
  <si>
    <t>10G-XF-49089</t>
  </si>
  <si>
    <t>10G-XF-70154</t>
  </si>
  <si>
    <t>10G-XF-66056</t>
  </si>
  <si>
    <t>10G-XF-52488</t>
  </si>
  <si>
    <t>10G-XF-45665</t>
  </si>
  <si>
    <t>10G-XF-86109</t>
  </si>
  <si>
    <t>10G-XF-66178</t>
  </si>
  <si>
    <t>10G-XF-26498</t>
  </si>
  <si>
    <t>10G-XF-32439</t>
  </si>
  <si>
    <t>10G-XF-94264</t>
  </si>
  <si>
    <t>10G-XF-66191</t>
  </si>
  <si>
    <t>10G-XF-36599</t>
  </si>
  <si>
    <t>10G-XF-27034</t>
  </si>
  <si>
    <t>10G-XF-45808</t>
  </si>
  <si>
    <t>10G-XF-42513</t>
  </si>
  <si>
    <t>10G-XF-75482</t>
  </si>
  <si>
    <t>10G-XF-25523</t>
  </si>
  <si>
    <t>10G-XF-88299</t>
  </si>
  <si>
    <t>10G-XF-80111</t>
  </si>
  <si>
    <t>10G-XF-84828</t>
  </si>
  <si>
    <t>10G-XF-62603</t>
  </si>
  <si>
    <t>10G-XF-58393</t>
  </si>
  <si>
    <t>10G-XF-79316</t>
  </si>
  <si>
    <t>10G-XF-32062</t>
  </si>
  <si>
    <t>10G-XF-75438</t>
  </si>
  <si>
    <t>10G-XF-66297</t>
  </si>
  <si>
    <t>10G-XF-49528</t>
  </si>
  <si>
    <t>10G-XF-89663</t>
  </si>
  <si>
    <t>10G-XF-70252</t>
  </si>
  <si>
    <t>10G-XF-58097</t>
  </si>
  <si>
    <t>10G-XF-32899</t>
  </si>
  <si>
    <t>10G-XF-91764</t>
  </si>
  <si>
    <t>10G-XF-70689</t>
  </si>
  <si>
    <t>10G-XF-64583</t>
  </si>
  <si>
    <t>10G-XF-71245</t>
  </si>
  <si>
    <t>E1M-LX-64839</t>
  </si>
  <si>
    <t>E1M-SX-63109</t>
  </si>
  <si>
    <t>E1M-TX-35816</t>
  </si>
  <si>
    <t>E1M-LH-47694</t>
  </si>
  <si>
    <t>E1M-LH-37546</t>
  </si>
  <si>
    <t>E1M-CW-34427</t>
  </si>
  <si>
    <t>E1M-CW-64134</t>
  </si>
  <si>
    <t>E1M-CW-34074</t>
  </si>
  <si>
    <t>E1M-CW-90492</t>
  </si>
  <si>
    <t>E1M-CW-44737</t>
  </si>
  <si>
    <t>E1M-CW-99959</t>
  </si>
  <si>
    <t>E1M-CW-60205</t>
  </si>
  <si>
    <t>E1M-CW-94301</t>
  </si>
  <si>
    <t>E1M-BX-68494</t>
  </si>
  <si>
    <t>E1M-BX-42304</t>
  </si>
  <si>
    <t>E1M-10-79314</t>
  </si>
  <si>
    <t>E1M-10-76244</t>
  </si>
  <si>
    <t>E1M-10-86032</t>
  </si>
  <si>
    <t>E1M-SX-61686</t>
  </si>
  <si>
    <t>E1M-10-37429</t>
  </si>
  <si>
    <t>E1M-10-79861</t>
  </si>
  <si>
    <t>FWS-CZ-50334</t>
  </si>
  <si>
    <t>FWS-DC-40691</t>
  </si>
  <si>
    <t>FWS-CZ-92019</t>
  </si>
  <si>
    <t>FWS-DC-85106</t>
  </si>
  <si>
    <t>FWS-CZ-57157</t>
  </si>
  <si>
    <t>FWS-DC-25572</t>
  </si>
  <si>
    <t>FWS-CZ-40464</t>
  </si>
  <si>
    <t>FWS-DC-84745</t>
  </si>
  <si>
    <t>FWS-CZ-66910</t>
  </si>
  <si>
    <t>FWS-DC-39889</t>
  </si>
  <si>
    <t>FWS-CZ-78644</t>
  </si>
  <si>
    <t>FWS-DC-58292</t>
  </si>
  <si>
    <t>X4--1X-36590</t>
  </si>
  <si>
    <t>X4--2X-58771</t>
  </si>
  <si>
    <t>RPS-X4-65842</t>
  </si>
  <si>
    <t>RPS-X4-86385</t>
  </si>
  <si>
    <t>RPS-X4-90704</t>
  </si>
  <si>
    <t>RPS-X4-26549</t>
  </si>
  <si>
    <t>RPS-18-67744</t>
  </si>
  <si>
    <t>10G-XF-53397</t>
  </si>
  <si>
    <t>10G-XF-36295</t>
  </si>
  <si>
    <t>10G-XF-69806</t>
  </si>
  <si>
    <t>10G-XF-52168</t>
  </si>
  <si>
    <t>10G-XF-46007</t>
  </si>
  <si>
    <t>10G-XF-95800</t>
  </si>
  <si>
    <t>10G-XF-26942</t>
  </si>
  <si>
    <t>10G-XF-83549</t>
  </si>
  <si>
    <t>10G-XF-90229</t>
  </si>
  <si>
    <t>10G-XF-85318</t>
  </si>
  <si>
    <t>10G-XF-33127</t>
  </si>
  <si>
    <t>10G-XF-38897</t>
  </si>
  <si>
    <t>10G-XF-24529</t>
  </si>
  <si>
    <t>10G-XF-56409</t>
  </si>
  <si>
    <t>10G-XF-64344</t>
  </si>
  <si>
    <t>10G-XF-49313</t>
  </si>
  <si>
    <t>10G-XF-89190</t>
  </si>
  <si>
    <t>10G-XF-78760</t>
  </si>
  <si>
    <t>10G-XF-88018</t>
  </si>
  <si>
    <t>10G-XF-45152</t>
  </si>
  <si>
    <t>10G-XF-27019</t>
  </si>
  <si>
    <t>10G-XF-26738</t>
  </si>
  <si>
    <t>10G-XF-39660</t>
  </si>
  <si>
    <t>10G-XF-50127</t>
  </si>
  <si>
    <t>10G-XF-49914</t>
  </si>
  <si>
    <t>10G-XF-48222</t>
  </si>
  <si>
    <t>10G-XF-63321</t>
  </si>
  <si>
    <t>10G-XF-27841</t>
  </si>
  <si>
    <t>10G-XF-52302</t>
  </si>
  <si>
    <t>10G-XF-38452</t>
  </si>
  <si>
    <t>10G-XF-51456</t>
  </si>
  <si>
    <t>10G-XF-94163</t>
  </si>
  <si>
    <t>10G-XF-23702</t>
  </si>
  <si>
    <t>10G-XF-38393</t>
  </si>
  <si>
    <t>10G-XF-49243</t>
  </si>
  <si>
    <t>10G-XF-34245</t>
  </si>
  <si>
    <t>10G-XF-28563</t>
  </si>
  <si>
    <t>10G-XF-41714</t>
  </si>
  <si>
    <t>10G-XF-59239</t>
  </si>
  <si>
    <t>10G-XF-38272</t>
  </si>
  <si>
    <t>10G-XF-58669</t>
  </si>
  <si>
    <t>10G-XF-43643</t>
  </si>
  <si>
    <t>10G-XF-88780</t>
  </si>
  <si>
    <t>10G-XF-75241</t>
  </si>
  <si>
    <t>10G-XF-33220</t>
  </si>
  <si>
    <t>E1M-LX-78808</t>
  </si>
  <si>
    <t>E1M-SX-38997</t>
  </si>
  <si>
    <t>E1M-TX-96543</t>
  </si>
  <si>
    <t>E1M-LH-93459</t>
  </si>
  <si>
    <t>E1M-LH-85791</t>
  </si>
  <si>
    <t>E1M-CW-55473</t>
  </si>
  <si>
    <t>E1M-CW-85988</t>
  </si>
  <si>
    <t>E1M-CW-62505</t>
  </si>
  <si>
    <t>E1M-CW-65356</t>
  </si>
  <si>
    <t>E1M-CW-45522</t>
  </si>
  <si>
    <t>E1M-CW-72383</t>
  </si>
  <si>
    <t>E1M-CW-61461</t>
  </si>
  <si>
    <t>E1M-CW-52978</t>
  </si>
  <si>
    <t>FI--SX-97698</t>
  </si>
  <si>
    <t>FI--SX-67300</t>
  </si>
  <si>
    <t>FI--SX-68236</t>
  </si>
  <si>
    <t>FI--SX-83557</t>
  </si>
  <si>
    <t>FI--SX-40752</t>
  </si>
  <si>
    <t>FI--SX-31526</t>
  </si>
  <si>
    <t>FI--SX-34896</t>
  </si>
  <si>
    <t>FI--SX-30407</t>
  </si>
  <si>
    <t>FI--SX-31088</t>
  </si>
  <si>
    <t>FI--SX-63391</t>
  </si>
  <si>
    <t>FI--SX-47113</t>
  </si>
  <si>
    <t>FI--SX-75037</t>
  </si>
  <si>
    <t>FI--SX-46698</t>
  </si>
  <si>
    <t>FI--SX-32859</t>
  </si>
  <si>
    <t>SX--FI-76646</t>
  </si>
  <si>
    <t>SX--FI-51870</t>
  </si>
  <si>
    <t>SX--FI-67712</t>
  </si>
  <si>
    <t>SX--FI-39197</t>
  </si>
  <si>
    <t>SX--FI-30081</t>
  </si>
  <si>
    <t>SX--FI-96655</t>
  </si>
  <si>
    <t>SX--FI-31780</t>
  </si>
  <si>
    <t>SX--FI-36091</t>
  </si>
  <si>
    <t>SX--FI-61149</t>
  </si>
  <si>
    <t>SX--FI-63921</t>
  </si>
  <si>
    <t>SX--FI-45323</t>
  </si>
  <si>
    <t>SX--FI-95237</t>
  </si>
  <si>
    <t>SX--FI-85241</t>
  </si>
  <si>
    <t>SX--FI-92529</t>
  </si>
  <si>
    <t>SX--FI-91956</t>
  </si>
  <si>
    <t>SX--FI-90397</t>
  </si>
  <si>
    <t>SX--FI-70603</t>
  </si>
  <si>
    <t>SX--24-44965</t>
  </si>
  <si>
    <t>SX--AC-54182</t>
  </si>
  <si>
    <t>SX--DC-24139</t>
  </si>
  <si>
    <t>SX--AC-71338</t>
  </si>
  <si>
    <t>SX--DC-36556</t>
  </si>
  <si>
    <t>SX--AC-25737</t>
  </si>
  <si>
    <t>SX--PC-40508</t>
  </si>
  <si>
    <t>10G-XF-42287</t>
  </si>
  <si>
    <t>10G-XF-87968</t>
  </si>
  <si>
    <t>10G-XF-93212</t>
  </si>
  <si>
    <t>10G-XF-72556</t>
  </si>
  <si>
    <t>10G-XF-84888</t>
  </si>
  <si>
    <t>10G-XF-39545</t>
  </si>
  <si>
    <t>10G-XF-41933</t>
  </si>
  <si>
    <t>10G-XF-66690</t>
  </si>
  <si>
    <t>10G-XF-48673</t>
  </si>
  <si>
    <t>10G-XF-44817</t>
  </si>
  <si>
    <t>10G-XF-47654</t>
  </si>
  <si>
    <t>10G-XF-64348</t>
  </si>
  <si>
    <t>10G-XF-86446</t>
  </si>
  <si>
    <t>10G-XF-82814</t>
  </si>
  <si>
    <t>10G-XF-43282</t>
  </si>
  <si>
    <t>10G-XF-76230</t>
  </si>
  <si>
    <t>10G-XF-34281</t>
  </si>
  <si>
    <t>10G-XF-76193</t>
  </si>
  <si>
    <t>10G-XF-30533</t>
  </si>
  <si>
    <t>10G-XF-95650</t>
  </si>
  <si>
    <t>10G-XF-51794</t>
  </si>
  <si>
    <t>10G-XF-70973</t>
  </si>
  <si>
    <t>10G-XF-51133</t>
  </si>
  <si>
    <t>10G-XF-31568</t>
  </si>
  <si>
    <t>10G-XF-29371</t>
  </si>
  <si>
    <t>10G-XF-88087</t>
  </si>
  <si>
    <t>10G-XF-81158</t>
  </si>
  <si>
    <t>10G-XF-54150</t>
  </si>
  <si>
    <t>10G-XF-46467</t>
  </si>
  <si>
    <t>10G-XF-31015</t>
  </si>
  <si>
    <t>10G-XF-73991</t>
  </si>
  <si>
    <t>10G-XF-25186</t>
  </si>
  <si>
    <t>10G-XF-53807</t>
  </si>
  <si>
    <t>10G-XF-65400</t>
  </si>
  <si>
    <t>10G-XF-62532</t>
  </si>
  <si>
    <t>10G-XF-43214</t>
  </si>
  <si>
    <t>10G-XF-67541</t>
  </si>
  <si>
    <t>10G-XF-76059</t>
  </si>
  <si>
    <t>10G-XF-74582</t>
  </si>
  <si>
    <t>10G-XF-80488</t>
  </si>
  <si>
    <t>10G-XF-83089</t>
  </si>
  <si>
    <t>10G-XF-81973</t>
  </si>
  <si>
    <t>10G-XF-42846</t>
  </si>
  <si>
    <t>10G-XF-90226</t>
  </si>
  <si>
    <t>10G-XF-99231</t>
  </si>
  <si>
    <t>E1M-LX-71138</t>
  </si>
  <si>
    <t>E1M-SX-46099</t>
  </si>
  <si>
    <t>E1M-TX-93234</t>
  </si>
  <si>
    <t>E1M-10-67480</t>
  </si>
  <si>
    <t>E1M-10-89286</t>
  </si>
  <si>
    <t>E1M-LH-39094</t>
  </si>
  <si>
    <t>E1M-LH-28903</t>
  </si>
  <si>
    <t>E1M-CW-46686</t>
  </si>
  <si>
    <t>E1M-CW-75393</t>
  </si>
  <si>
    <t>E1M-CW-69583</t>
  </si>
  <si>
    <t>E1M-CW-62567</t>
  </si>
  <si>
    <t>E1M-CW-49534</t>
  </si>
  <si>
    <t>E1M-CW-54373</t>
  </si>
  <si>
    <t>E1M-CW-63381</t>
  </si>
  <si>
    <t>E1M-CW-85593</t>
  </si>
  <si>
    <t>E1M-BX-79986</t>
  </si>
  <si>
    <t>E1M-BX-69055</t>
  </si>
  <si>
    <t>E1M-SX-41897</t>
  </si>
  <si>
    <t>SX--FI-88478</t>
  </si>
  <si>
    <t>FI--SX-60716</t>
  </si>
  <si>
    <t>FI--SX-95252</t>
  </si>
  <si>
    <t>SX--FI-94911</t>
  </si>
  <si>
    <t>SX--PW-93274</t>
  </si>
  <si>
    <t>SX--FI-74142</t>
  </si>
  <si>
    <t>SX--SX-29743</t>
  </si>
  <si>
    <t>SX--SX-70152</t>
  </si>
  <si>
    <t>SX--SX-35018</t>
  </si>
  <si>
    <t>SX--FI-72233</t>
  </si>
  <si>
    <t>IP--MC-59523</t>
  </si>
  <si>
    <t>IP--MC-31918</t>
  </si>
  <si>
    <t>IP--MC-93021</t>
  </si>
  <si>
    <t>IP--MC-41102</t>
  </si>
  <si>
    <t>IP--MC-87986</t>
  </si>
  <si>
    <t>IP--MC-77986</t>
  </si>
  <si>
    <t>IP--MC-27945</t>
  </si>
  <si>
    <t>IP--MC-79951</t>
  </si>
  <si>
    <t>IP--MA-78598</t>
  </si>
  <si>
    <t>IP--MA-57070</t>
  </si>
  <si>
    <t>IP--MA-85086</t>
  </si>
  <si>
    <t>IP--RS-41669</t>
  </si>
  <si>
    <t>IP--RS-70740</t>
  </si>
  <si>
    <t>IP--AC-51853</t>
  </si>
  <si>
    <t>IP--AC-24288</t>
  </si>
  <si>
    <t>IP--AC-31038</t>
  </si>
  <si>
    <t>IP--AC-78904</t>
  </si>
  <si>
    <t>IP--AC-66785</t>
  </si>
  <si>
    <t>IP--AC-65176</t>
  </si>
  <si>
    <t>IP--AC-63954</t>
  </si>
  <si>
    <t>IP--AC-43623</t>
  </si>
  <si>
    <t>IP--AP-72617</t>
  </si>
  <si>
    <t>IP--AP-40785</t>
  </si>
  <si>
    <t>IP--WL-34735</t>
  </si>
  <si>
    <t>IP2-US-53768</t>
  </si>
  <si>
    <t>IP2-CA-55991</t>
  </si>
  <si>
    <t>IP2-IL-57657</t>
  </si>
  <si>
    <t>IP2-JP-83463</t>
  </si>
  <si>
    <t>IP2-NZ-30707</t>
  </si>
  <si>
    <t>IP2-XX-25226</t>
  </si>
  <si>
    <t>IP--OD-59928</t>
  </si>
  <si>
    <t>IP--DP-28496</t>
  </si>
  <si>
    <t>FIP-10-58337</t>
  </si>
  <si>
    <t>FIP-60-62607</t>
  </si>
  <si>
    <t>FIP-60-30344</t>
  </si>
  <si>
    <t>BI--RX-80119</t>
  </si>
  <si>
    <t>BI--RX-43530</t>
  </si>
  <si>
    <t>BI--RX-80785</t>
  </si>
  <si>
    <t>BI--RX-56607</t>
  </si>
  <si>
    <t>BI--RX-42668</t>
  </si>
  <si>
    <t>BI--RX-34614</t>
  </si>
  <si>
    <t>RX--BI-99958</t>
  </si>
  <si>
    <t>RX--BI-76525</t>
  </si>
  <si>
    <t>RX--BI-68606</t>
  </si>
  <si>
    <t>RX--BI-32280</t>
  </si>
  <si>
    <t>RX--BI-25868</t>
  </si>
  <si>
    <t>RX--BI-66560</t>
  </si>
  <si>
    <t>RX--AC-64001</t>
  </si>
  <si>
    <t>RX--AC-82397</t>
  </si>
  <si>
    <t>RX--DC-76496</t>
  </si>
  <si>
    <t>RX--DC-62135</t>
  </si>
  <si>
    <t>RX--BI-54209</t>
  </si>
  <si>
    <t>RX--BI-63971</t>
  </si>
  <si>
    <t>RX--BI-62687</t>
  </si>
  <si>
    <t>RX--BI-46203</t>
  </si>
  <si>
    <t>RX--BI-63309</t>
  </si>
  <si>
    <t>RX--BI-75086</t>
  </si>
  <si>
    <t>10G-XF-31611</t>
  </si>
  <si>
    <t>10G-XF-85335</t>
  </si>
  <si>
    <t>10G-XF-87510</t>
  </si>
  <si>
    <t>10G-XF-84964</t>
  </si>
  <si>
    <t>10G-XF-35258</t>
  </si>
  <si>
    <t>10G-XF-41771</t>
  </si>
  <si>
    <t>10G-XF-45582</t>
  </si>
  <si>
    <t>10G-XF-44039</t>
  </si>
  <si>
    <t>10G-XF-40847</t>
  </si>
  <si>
    <t>10G-XF-25093</t>
  </si>
  <si>
    <t>10G-XF-54988</t>
  </si>
  <si>
    <t>10G-XF-41316</t>
  </si>
  <si>
    <t>10G-XF-48409</t>
  </si>
  <si>
    <t>10G-XF-68654</t>
  </si>
  <si>
    <t>10G-XF-88943</t>
  </si>
  <si>
    <t>10G-XF-71931</t>
  </si>
  <si>
    <t>10G-XF-83718</t>
  </si>
  <si>
    <t>10G-XF-75007</t>
  </si>
  <si>
    <t>10G-XF-46912</t>
  </si>
  <si>
    <t>10G-XF-86321</t>
  </si>
  <si>
    <t>10G-XF-85190</t>
  </si>
  <si>
    <t>10G-XF-64645</t>
  </si>
  <si>
    <t>10G-XF-35324</t>
  </si>
  <si>
    <t>10G-XF-68028</t>
  </si>
  <si>
    <t>10G-XF-29165</t>
  </si>
  <si>
    <t>10G-XF-60464</t>
  </si>
  <si>
    <t>10G-XF-71876</t>
  </si>
  <si>
    <t>10G-XF-67283</t>
  </si>
  <si>
    <t>10G-XF-70638</t>
  </si>
  <si>
    <t>10G-XF-26748</t>
  </si>
  <si>
    <t>10G-XF-77207</t>
  </si>
  <si>
    <t>10G-XF-31610</t>
  </si>
  <si>
    <t>10G-XF-35519</t>
  </si>
  <si>
    <t>10G-XF-77960</t>
  </si>
  <si>
    <t>10G-XF-63464</t>
  </si>
  <si>
    <t>10G-XF-49388</t>
  </si>
  <si>
    <t>10G-XF-35661</t>
  </si>
  <si>
    <t>10G-XF-46436</t>
  </si>
  <si>
    <t>10G-XF-76285</t>
  </si>
  <si>
    <t>10G-XF-52271</t>
  </si>
  <si>
    <t>10G-XF-98638</t>
  </si>
  <si>
    <t>10G-XF-36504</t>
  </si>
  <si>
    <t>10G-XF-83036</t>
  </si>
  <si>
    <t>10G-XF-49479</t>
  </si>
  <si>
    <t>10G-XF-67812</t>
  </si>
  <si>
    <t>E1M-TX-33870</t>
  </si>
  <si>
    <t>E1M-SX-58280</t>
  </si>
  <si>
    <t>E1M-SX-64925</t>
  </si>
  <si>
    <t>E1M-LX-76625</t>
  </si>
  <si>
    <t>E1M-LH-62560</t>
  </si>
  <si>
    <t>E1M-LH-85412</t>
  </si>
  <si>
    <t>E1M-CW-47512</t>
  </si>
  <si>
    <t>E1M-CW-65768</t>
  </si>
  <si>
    <t>E1M-CW-67109</t>
  </si>
  <si>
    <t>E1M-CW-84861</t>
  </si>
  <si>
    <t>E1M-CW-93485</t>
  </si>
  <si>
    <t>E1M-CW-30833</t>
  </si>
  <si>
    <t>E1M-CW-38322</t>
  </si>
  <si>
    <t>E1M-CW-88727</t>
  </si>
  <si>
    <t>E1M-BX-73673</t>
  </si>
  <si>
    <t>E1M-BX-81767</t>
  </si>
  <si>
    <t>E1M-SX-53744</t>
  </si>
  <si>
    <t>E1M-10-86629</t>
  </si>
  <si>
    <t>E1M-10-54326</t>
  </si>
  <si>
    <t>E1M-10-32724</t>
  </si>
  <si>
    <t>BI--RX-29953</t>
  </si>
  <si>
    <t>BI--RX-74105</t>
  </si>
  <si>
    <t>BI--RX-84007</t>
  </si>
  <si>
    <t>BI--RX-35972</t>
  </si>
  <si>
    <t>BI--RX-38459</t>
  </si>
  <si>
    <t>BI--RX-31269</t>
  </si>
  <si>
    <t>BI--RX-68013</t>
  </si>
  <si>
    <t>RX--BI-69034</t>
  </si>
  <si>
    <t>RX--BI-32520</t>
  </si>
  <si>
    <t>RX--BI-59938</t>
  </si>
  <si>
    <t>RX--BI-44330</t>
  </si>
  <si>
    <t>RX--PW-32108</t>
  </si>
  <si>
    <t>RX--PW-69474</t>
  </si>
  <si>
    <t>FLA-PC-73689</t>
  </si>
  <si>
    <t>B40-CZ-53386</t>
  </si>
  <si>
    <t>B40-DC-56217</t>
  </si>
  <si>
    <t>B40-S-38545</t>
  </si>
  <si>
    <t>B80-CZ-27563</t>
  </si>
  <si>
    <t>B80-DC-36012</t>
  </si>
  <si>
    <t>B80-S-67181</t>
  </si>
  <si>
    <t>B15-CZ-69525</t>
  </si>
  <si>
    <t>B15-DC-97861</t>
  </si>
  <si>
    <t>B15-S-56981</t>
  </si>
  <si>
    <t>RPS-CZ-88312</t>
  </si>
  <si>
    <t>RPS-CZ-65004</t>
  </si>
  <si>
    <t>RPS-CZ-41898</t>
  </si>
  <si>
    <t>RPS-CZ-78182</t>
  </si>
  <si>
    <t>RPS-CZ-80504</t>
  </si>
  <si>
    <t>RPS-PO-54728</t>
  </si>
  <si>
    <t>J-B-B2-52067</t>
  </si>
  <si>
    <t>J-B-B2-96547</t>
  </si>
  <si>
    <t>J-B-B2-33194</t>
  </si>
  <si>
    <t>J-B-B4-60134</t>
  </si>
  <si>
    <t>J-B-B4-58586</t>
  </si>
  <si>
    <t>J-B-B1-44093</t>
  </si>
  <si>
    <t>J-B-Bx-39745</t>
  </si>
  <si>
    <t>J-B-B1-94409</t>
  </si>
  <si>
    <t>E1M-TX-59873</t>
  </si>
  <si>
    <t>E1M-SX-56377</t>
  </si>
  <si>
    <t>E1M-SX-42828</t>
  </si>
  <si>
    <t>E1M-LX-42309</t>
  </si>
  <si>
    <t>E1M-LH-73745</t>
  </si>
  <si>
    <t>E1M-LH-93227</t>
  </si>
  <si>
    <t>E1M-CW-90182</t>
  </si>
  <si>
    <t>E1M-CW-70621</t>
  </si>
  <si>
    <t>E1M-CW-72152</t>
  </si>
  <si>
    <t>E1M-CW-89629</t>
  </si>
  <si>
    <t>E1M-CW-48077</t>
  </si>
  <si>
    <t>E1M-CW-52383</t>
  </si>
  <si>
    <t>E1M-CW-74287</t>
  </si>
  <si>
    <t>E1M-CW-83263</t>
  </si>
  <si>
    <t>B10-CZ-71520</t>
  </si>
  <si>
    <t>B10-CZ-32084</t>
  </si>
  <si>
    <t>10G-XN-49419</t>
  </si>
  <si>
    <t>10G-XN-31860</t>
  </si>
  <si>
    <t>10G-XN-46376</t>
  </si>
  <si>
    <t>10G-XN-42341</t>
  </si>
  <si>
    <t>10G-XN-30336</t>
  </si>
  <si>
    <t>10G-XN-27760</t>
  </si>
  <si>
    <t>10G-XN-81291</t>
  </si>
  <si>
    <t>10G-XN-49414</t>
  </si>
  <si>
    <t>10G-XN-29379</t>
  </si>
  <si>
    <t>10G-XN-88383</t>
  </si>
  <si>
    <t>10G-XN-60042</t>
  </si>
  <si>
    <t>10G-XN-62723</t>
  </si>
  <si>
    <t>10G-XN-49890</t>
  </si>
  <si>
    <t>10G-XN-65751</t>
  </si>
  <si>
    <t>10G-XN-46049</t>
  </si>
  <si>
    <t>10G-XN-23795</t>
  </si>
  <si>
    <t>10G-XN-87229</t>
  </si>
  <si>
    <t>10G-XN-29374</t>
  </si>
  <si>
    <t>10G-XN-40336</t>
  </si>
  <si>
    <t>10G-XN-85916</t>
  </si>
  <si>
    <t>10G-XN-50561</t>
  </si>
  <si>
    <t>10G-XN-28248</t>
  </si>
  <si>
    <t>10G-XN-63221</t>
  </si>
  <si>
    <t>10G-XN-25417</t>
  </si>
  <si>
    <t>10G-XN-29518</t>
  </si>
  <si>
    <t>10G-XN-58052</t>
  </si>
  <si>
    <t>10G-XN-79377</t>
  </si>
  <si>
    <t>10G-XN-30850</t>
  </si>
  <si>
    <t>10G-XN-78158</t>
  </si>
  <si>
    <t>10G-XN-95504</t>
  </si>
  <si>
    <t>10G-XN-70472</t>
  </si>
  <si>
    <t>10G-XN-54006</t>
  </si>
  <si>
    <t>10G-XN-79323</t>
  </si>
  <si>
    <t>10G-XN-30883</t>
  </si>
  <si>
    <t>10G-XN-57615</t>
  </si>
  <si>
    <t>10G-XN-95639</t>
  </si>
  <si>
    <t>10G-XN-70648</t>
  </si>
  <si>
    <t>10G-XN-51154</t>
  </si>
  <si>
    <t>10G-XN-33524</t>
  </si>
  <si>
    <t>10G-XN-54920</t>
  </si>
  <si>
    <t>10G-XN-47966</t>
  </si>
  <si>
    <t>10G-XN-73907</t>
  </si>
  <si>
    <t>10G-XN-59612</t>
  </si>
  <si>
    <t>10G-XN-97214</t>
  </si>
  <si>
    <t>10G-XN-85053</t>
  </si>
  <si>
    <t>10G-XN-41331</t>
  </si>
  <si>
    <t>10G-XN-94502</t>
  </si>
  <si>
    <t>J-B-Bx-27467</t>
  </si>
  <si>
    <t>J-B-B2-95752</t>
  </si>
  <si>
    <t>E1M-TX-92484</t>
  </si>
  <si>
    <t>E1M-SX-96669</t>
  </si>
  <si>
    <t>E1M-SX-98859</t>
  </si>
  <si>
    <t>E1M-LX-59560</t>
  </si>
  <si>
    <t>E1M-LH-81128</t>
  </si>
  <si>
    <t>E1M-LH-61744</t>
  </si>
  <si>
    <t>E1M-CW-35980</t>
  </si>
  <si>
    <t>E1M-CW-45999</t>
  </si>
  <si>
    <t>E1M-CW-25599</t>
  </si>
  <si>
    <t>E1M-CW-77340</t>
  </si>
  <si>
    <t>E1M-CW-69281</t>
  </si>
  <si>
    <t>E1M-CW-53972</t>
  </si>
  <si>
    <t>E1M-CW-75382</t>
  </si>
  <si>
    <t>E1M-CW-89631</t>
  </si>
  <si>
    <t>NI--XM-96860</t>
  </si>
  <si>
    <t>NI--XM-58288</t>
  </si>
  <si>
    <t>NI--XM-29699</t>
  </si>
  <si>
    <t>NI--XM-27896</t>
  </si>
  <si>
    <t>NI--XM-66028</t>
  </si>
  <si>
    <t>NI--XM-44757</t>
  </si>
  <si>
    <t>NI--XM-84918</t>
  </si>
  <si>
    <t>NI--XM-97159</t>
  </si>
  <si>
    <t>NI--XM-34036</t>
  </si>
  <si>
    <t>NI--XM-57745</t>
  </si>
  <si>
    <t>NI--XM-87953</t>
  </si>
  <si>
    <t>NI--X--94701</t>
  </si>
  <si>
    <t>NI--X--59743</t>
  </si>
  <si>
    <t>NI--X--64282</t>
  </si>
  <si>
    <t>NI--X--72892</t>
  </si>
  <si>
    <t>NI--X--80878</t>
  </si>
  <si>
    <t>NI--XM-24354</t>
  </si>
  <si>
    <t>NI--XM-69175</t>
  </si>
  <si>
    <t>NI--XM-83972</t>
  </si>
  <si>
    <t>NI--X--57549</t>
  </si>
  <si>
    <t>NI--X--28691</t>
  </si>
  <si>
    <t>NI--X--67378</t>
  </si>
  <si>
    <t>NI--X--75597</t>
  </si>
  <si>
    <t>NI--X--84531</t>
  </si>
  <si>
    <t>NI--X--71781</t>
  </si>
  <si>
    <t>NI--X--64154</t>
  </si>
  <si>
    <t>NI--X--43597</t>
  </si>
  <si>
    <t>NI--X--93699</t>
  </si>
  <si>
    <t>NI--X--51457</t>
  </si>
  <si>
    <t>NI--X--62490</t>
  </si>
  <si>
    <t>NI--X--50117</t>
  </si>
  <si>
    <t>NI--X--97134</t>
  </si>
  <si>
    <t>NI--X--64809</t>
  </si>
  <si>
    <t>NI--X--92801</t>
  </si>
  <si>
    <t>NI--X--35816</t>
  </si>
  <si>
    <t>NI--X--44784</t>
  </si>
  <si>
    <t>NI--X--71274</t>
  </si>
  <si>
    <t>NI--X--36368</t>
  </si>
  <si>
    <t>FLA-PC-89026</t>
  </si>
  <si>
    <t>10G-XF-53150</t>
  </si>
  <si>
    <t>10G-XF-65794</t>
  </si>
  <si>
    <t>10G-XF-72160</t>
  </si>
  <si>
    <t>10G-XF-36277</t>
  </si>
  <si>
    <t>10G-XF-39218</t>
  </si>
  <si>
    <t>10G-XF-40001</t>
  </si>
  <si>
    <t>10G-XF-88954</t>
  </si>
  <si>
    <t>10G-XF-33904</t>
  </si>
  <si>
    <t>10G-XF-54907</t>
  </si>
  <si>
    <t>10G-XF-71434</t>
  </si>
  <si>
    <t>10G-XF-99658</t>
  </si>
  <si>
    <t>10G-XF-98958</t>
  </si>
  <si>
    <t>10G-XF-56627</t>
  </si>
  <si>
    <t>10G-XF-63347</t>
  </si>
  <si>
    <t>10G-XF-59297</t>
  </si>
  <si>
    <t>10G-XF-66865</t>
  </si>
  <si>
    <t>10G-XF-56075</t>
  </si>
  <si>
    <t>10G-XF-49871</t>
  </si>
  <si>
    <t>10G-XF-43564</t>
  </si>
  <si>
    <t>10G-XF-80608</t>
  </si>
  <si>
    <t>10G-XF-91274</t>
  </si>
  <si>
    <t>10G-XF-55305</t>
  </si>
  <si>
    <t>10G-XF-71382</t>
  </si>
  <si>
    <t>10G-XF-73282</t>
  </si>
  <si>
    <t>10G-XF-41489</t>
  </si>
  <si>
    <t>10G-XF-39128</t>
  </si>
  <si>
    <t>10G-XF-71461</t>
  </si>
  <si>
    <t>10G-XF-51666</t>
  </si>
  <si>
    <t>10G-XF-35034</t>
  </si>
  <si>
    <t>10G-XF-78045</t>
  </si>
  <si>
    <t>10G-XF-96301</t>
  </si>
  <si>
    <t>10G-XF-80880</t>
  </si>
  <si>
    <t>10G-XF-53349</t>
  </si>
  <si>
    <t>10G-XF-82316</t>
  </si>
  <si>
    <t>10G-XF-38668</t>
  </si>
  <si>
    <t>10G-XF-88561</t>
  </si>
  <si>
    <t>10G-XF-86662</t>
  </si>
  <si>
    <t>10G-XF-65683</t>
  </si>
  <si>
    <t>10G-XF-56417</t>
  </si>
  <si>
    <t>10G-XF-40393</t>
  </si>
  <si>
    <t>10G-XF-26735</t>
  </si>
  <si>
    <t>10G-XF-26547</t>
  </si>
  <si>
    <t>10G-XF-34471</t>
  </si>
  <si>
    <t>10G-XF-37923</t>
  </si>
  <si>
    <t>10G-XF-52866</t>
  </si>
  <si>
    <t>E1M-TX-99325</t>
  </si>
  <si>
    <t>E1M-SX-75717</t>
  </si>
  <si>
    <t>E1M-SX-54994</t>
  </si>
  <si>
    <t>E1M-LX-83321</t>
  </si>
  <si>
    <t>E1M-LH-25911</t>
  </si>
  <si>
    <t>E1M-LH-99298</t>
  </si>
  <si>
    <t>E1M-CW-66255</t>
  </si>
  <si>
    <t>E1M-CW-56249</t>
  </si>
  <si>
    <t>E1M-CW-57529</t>
  </si>
  <si>
    <t>E1M-CW-31854</t>
  </si>
  <si>
    <t>E1M-CW-48158</t>
  </si>
  <si>
    <t>E1M-CW-55538</t>
  </si>
  <si>
    <t>E1M-CW-50982</t>
  </si>
  <si>
    <t>E1M-CW-71061</t>
  </si>
  <si>
    <t>E1M-BX-29983</t>
  </si>
  <si>
    <t>E1M-BX-96638</t>
  </si>
  <si>
    <t>E1M-SX-95509</t>
  </si>
  <si>
    <t>E1M-10-87713</t>
  </si>
  <si>
    <t>E1M-10-61006</t>
  </si>
  <si>
    <t>E1M-10-68456</t>
  </si>
  <si>
    <t>OC1-XF-32585</t>
  </si>
  <si>
    <t>OC1-XF-48593</t>
  </si>
  <si>
    <t>OC4-SF-78343</t>
  </si>
  <si>
    <t>OC4-SF-37343</t>
  </si>
  <si>
    <t>OC4-SF-33733</t>
  </si>
  <si>
    <t>OC4-SF-43493</t>
  </si>
  <si>
    <t>OC1-SF-34498</t>
  </si>
  <si>
    <t>OC1-SF-26845</t>
  </si>
  <si>
    <t>OC1-SF-31055</t>
  </si>
  <si>
    <t>E1M-10-48092</t>
  </si>
  <si>
    <t>NI--ML-48434</t>
  </si>
  <si>
    <t>NI--ML-39847</t>
  </si>
  <si>
    <t>NI--ML-52531</t>
  </si>
  <si>
    <t>NI--ML-38598</t>
  </si>
  <si>
    <t>NI--ML-23468</t>
  </si>
  <si>
    <t>NI--ML-44714</t>
  </si>
  <si>
    <t>NI--ML-57316</t>
  </si>
  <si>
    <t>NI--ML-59139</t>
  </si>
  <si>
    <t>NI--ML-39232</t>
  </si>
  <si>
    <t>NI--ML-91092</t>
  </si>
  <si>
    <t>NI--ML-83572</t>
  </si>
  <si>
    <t>NI--X--65410</t>
  </si>
  <si>
    <t>NI--X--48625</t>
  </si>
  <si>
    <t>NI--X--80412</t>
  </si>
  <si>
    <t>NI--X--48067</t>
  </si>
  <si>
    <t>NI--X--30079</t>
  </si>
  <si>
    <t>NI--ML-26905</t>
  </si>
  <si>
    <t>NI--ML-38715</t>
  </si>
  <si>
    <t>NI--ML-65106</t>
  </si>
  <si>
    <t>NI--X--29384</t>
  </si>
  <si>
    <t>NI--X--46730</t>
  </si>
  <si>
    <t>NI--X--92937</t>
  </si>
  <si>
    <t>NI--X--80554</t>
  </si>
  <si>
    <t>NI--X--93598</t>
  </si>
  <si>
    <t>NI--X--47133</t>
  </si>
  <si>
    <t>NI--X--60314</t>
  </si>
  <si>
    <t>NI--X--39964</t>
  </si>
  <si>
    <t>NI--X--73769</t>
  </si>
  <si>
    <t>NI--X--68626</t>
  </si>
  <si>
    <t>NI--X--57715</t>
  </si>
  <si>
    <t>NI--X--30077</t>
  </si>
  <si>
    <t>NI--X--81828</t>
  </si>
  <si>
    <t>NI--X--67145</t>
  </si>
  <si>
    <t>NI--X--76760</t>
  </si>
  <si>
    <t>NI--X--92275</t>
  </si>
  <si>
    <t>NI--X--53167</t>
  </si>
  <si>
    <t>NI--X--99279</t>
  </si>
  <si>
    <t>NI--X--83398</t>
  </si>
  <si>
    <t>FLA-PC-23489</t>
  </si>
  <si>
    <t>10G-XF-98881</t>
  </si>
  <si>
    <t>10G-XF-59550</t>
  </si>
  <si>
    <t>10G-XF-79177</t>
  </si>
  <si>
    <t>10G-XF-47050</t>
  </si>
  <si>
    <t>10G-XF-60407</t>
  </si>
  <si>
    <t>10G-XF-77456</t>
  </si>
  <si>
    <t>10G-XF-66460</t>
  </si>
  <si>
    <t>10G-XF-71036</t>
  </si>
  <si>
    <t>10G-XF-49086</t>
  </si>
  <si>
    <t>10G-XF-29909</t>
  </si>
  <si>
    <t>10G-XF-74043</t>
  </si>
  <si>
    <t>10G-XF-27049</t>
  </si>
  <si>
    <t>10G-XF-75670</t>
  </si>
  <si>
    <t>10G-XF-77982</t>
  </si>
  <si>
    <t>10G-XF-63167</t>
  </si>
  <si>
    <t>10G-XF-85991</t>
  </si>
  <si>
    <t>10G-XF-40962</t>
  </si>
  <si>
    <t>10G-XF-58003</t>
  </si>
  <si>
    <t>10G-XF-67039</t>
  </si>
  <si>
    <t>10G-XF-23762</t>
  </si>
  <si>
    <t>10G-XF-50791</t>
  </si>
  <si>
    <t>10G-XF-49251</t>
  </si>
  <si>
    <t>10G-XF-27677</t>
  </si>
  <si>
    <t>10G-XF-78142</t>
  </si>
  <si>
    <t>10G-XF-65163</t>
  </si>
  <si>
    <t>10G-XF-78448</t>
  </si>
  <si>
    <t>10G-XF-36493</t>
  </si>
  <si>
    <t>10G-XF-71393</t>
  </si>
  <si>
    <t>10G-XF-44815</t>
  </si>
  <si>
    <t>10G-XF-34033</t>
  </si>
  <si>
    <t>10G-XF-56747</t>
  </si>
  <si>
    <t>10G-XF-77871</t>
  </si>
  <si>
    <t>10G-XF-70069</t>
  </si>
  <si>
    <t>10G-XF-81033</t>
  </si>
  <si>
    <t>10G-XF-73775</t>
  </si>
  <si>
    <t>10G-XF-30599</t>
  </si>
  <si>
    <t>10G-XF-94485</t>
  </si>
  <si>
    <t>10G-XF-77809</t>
  </si>
  <si>
    <t>10G-XF-37878</t>
  </si>
  <si>
    <t>10G-XF-61147</t>
  </si>
  <si>
    <t>10G-XF-57639</t>
  </si>
  <si>
    <t>10G-XF-67861</t>
  </si>
  <si>
    <t>10G-XF-64131</t>
  </si>
  <si>
    <t>10G-XF-31033</t>
  </si>
  <si>
    <t>10G-XF-57453</t>
  </si>
  <si>
    <t>E1M-TX-62250</t>
  </si>
  <si>
    <t>E1M-SX-96481</t>
  </si>
  <si>
    <t>E1M-SX-77199</t>
  </si>
  <si>
    <t>E1M-LX-48374</t>
  </si>
  <si>
    <t>E1M-LH-77854</t>
  </si>
  <si>
    <t>E1M-LH-61111</t>
  </si>
  <si>
    <t>E1M-CW-73106</t>
  </si>
  <si>
    <t>E1M-CW-67641</t>
  </si>
  <si>
    <t>E1M-CW-33916</t>
  </si>
  <si>
    <t>E1M-CW-93215</t>
  </si>
  <si>
    <t>E1M-CW-24440</t>
  </si>
  <si>
    <t>E1M-CW-82856</t>
  </si>
  <si>
    <t>E1M-CW-27698</t>
  </si>
  <si>
    <t>E1M-CW-76763</t>
  </si>
  <si>
    <t>E1M-BX-76884</t>
  </si>
  <si>
    <t>E1M-BX-59001</t>
  </si>
  <si>
    <t>E1M-SX-79978</t>
  </si>
  <si>
    <t>E1M-10-90672</t>
  </si>
  <si>
    <t>E1M-10-86155</t>
  </si>
  <si>
    <t>E1M-10-85005</t>
  </si>
  <si>
    <t>OC1-XF-97432</t>
  </si>
  <si>
    <t>OC1-XF-58608</t>
  </si>
  <si>
    <t>OC4-SF-82777</t>
  </si>
  <si>
    <t>OC4-SF-48821</t>
  </si>
  <si>
    <t>OC4-SF-39085</t>
  </si>
  <si>
    <t>OC4-SF-72103</t>
  </si>
  <si>
    <t>OC1-SF-66594</t>
  </si>
  <si>
    <t>OC1-SF-30724</t>
  </si>
  <si>
    <t>OC1-SF-72193</t>
  </si>
  <si>
    <t>E1M-10-49784</t>
  </si>
  <si>
    <t>NI--M2-49821</t>
  </si>
  <si>
    <t>NI--M2-27121</t>
  </si>
  <si>
    <t>NI--M2-74194</t>
  </si>
  <si>
    <t>NI--M2-86261</t>
  </si>
  <si>
    <t>NI--M2-39628</t>
  </si>
  <si>
    <t>NI--M2-96843</t>
  </si>
  <si>
    <t>E1M-TX-33602</t>
  </si>
  <si>
    <t>E1M-SX-88570</t>
  </si>
  <si>
    <t>E1M-SX-32109</t>
  </si>
  <si>
    <t>E1M-LX-70189</t>
  </si>
  <si>
    <t>E1M-LH-46717</t>
  </si>
  <si>
    <t>E1M-LH-95036</t>
  </si>
  <si>
    <t>E1M-CW-96833</t>
  </si>
  <si>
    <t>E1M-CW-82979</t>
  </si>
  <si>
    <t>E1M-CW-25782</t>
  </si>
  <si>
    <t>E1M-CW-57208</t>
  </si>
  <si>
    <t>E1M-CW-69488</t>
  </si>
  <si>
    <t>E1M-CW-61939</t>
  </si>
  <si>
    <t>E1M-CW-71686</t>
  </si>
  <si>
    <t>E1M-CW-24127</t>
  </si>
  <si>
    <t>E1M-BX-37884</t>
  </si>
  <si>
    <t>E1M-BX-81520</t>
  </si>
  <si>
    <t>E1M-SX-47227</t>
  </si>
  <si>
    <t>E1M-10-52624</t>
  </si>
  <si>
    <t>E1M-10-65994</t>
  </si>
  <si>
    <t>E1M-10-54377</t>
  </si>
  <si>
    <t>SCI-10-48863</t>
  </si>
  <si>
    <t>SCI-10-81329</t>
  </si>
  <si>
    <t>SCI-30-93248</t>
  </si>
  <si>
    <t>SCI-30-91177</t>
  </si>
  <si>
    <t>LS--SS-32809</t>
  </si>
  <si>
    <t>LS--SS-35789</t>
  </si>
  <si>
    <t>SCI-10-61240</t>
  </si>
  <si>
    <t>SCI-10-70917</t>
  </si>
  <si>
    <t>SCI-30-94150</t>
  </si>
  <si>
    <t>SCI-30-97413</t>
  </si>
  <si>
    <t>SCI-CZ-46816</t>
  </si>
  <si>
    <t>SCI-S-26854</t>
  </si>
  <si>
    <t>SSM-CZ-88052</t>
  </si>
  <si>
    <t>SSM-1-88070</t>
  </si>
  <si>
    <t>J-B-Bx-99285</t>
  </si>
  <si>
    <t>J-B-B1-64131</t>
  </si>
  <si>
    <t>J-B-B1-88944</t>
  </si>
  <si>
    <t>J-B-B2-98322</t>
  </si>
  <si>
    <t>J-B-B4-47888</t>
  </si>
  <si>
    <t>J-B-B2-85976</t>
  </si>
  <si>
    <t>J-B-B2-84131</t>
  </si>
  <si>
    <t>J-B-B4-52879</t>
  </si>
  <si>
    <t>B10-CZ-73684</t>
  </si>
  <si>
    <t>B10-CZ-83865</t>
  </si>
  <si>
    <t>10G-XN-58059</t>
  </si>
  <si>
    <t>10G-XN-85579</t>
  </si>
  <si>
    <t>10G-XN-79234</t>
  </si>
  <si>
    <t>10G-XN-34826</t>
  </si>
  <si>
    <t>10G-XN-50201</t>
  </si>
  <si>
    <t>10G-XN-54168</t>
  </si>
  <si>
    <t>RPS-CZ-27571</t>
  </si>
  <si>
    <t>RPS-CZ-30087</t>
  </si>
  <si>
    <t>E1M-SX-57307</t>
  </si>
  <si>
    <t>E1M-SX-32123</t>
  </si>
  <si>
    <t>E1M-LX-62467</t>
  </si>
  <si>
    <t>E1M-LH-26326</t>
  </si>
  <si>
    <t>E1M-TX-55014</t>
  </si>
  <si>
    <t>SI--4G-33850</t>
  </si>
  <si>
    <t>SI--4G-65205</t>
  </si>
  <si>
    <t>SI--4G-23521</t>
  </si>
  <si>
    <t>SI--4G-32373</t>
  </si>
  <si>
    <t>SI--4G-57947</t>
  </si>
  <si>
    <t>SI--4G-40149</t>
  </si>
  <si>
    <t>SI--4G-27666</t>
  </si>
  <si>
    <t>SI--4G-86979</t>
  </si>
  <si>
    <t>SI--4G-88561</t>
  </si>
  <si>
    <t>RPS-CZ-50378</t>
  </si>
  <si>
    <t>RPS-CZ-88313</t>
  </si>
  <si>
    <t>FCS-CZ-64730</t>
  </si>
  <si>
    <t>FCS-CZ-51130</t>
  </si>
  <si>
    <t>FCS-CZ-76333</t>
  </si>
  <si>
    <t>FCS-CZ-63281</t>
  </si>
  <si>
    <t>FCS-U2-86783</t>
  </si>
  <si>
    <t>FCS-F2-77723</t>
  </si>
  <si>
    <t>U1G-CZ-34197</t>
  </si>
  <si>
    <t>U2G-CZ-96119</t>
  </si>
  <si>
    <t>F1G-CZ-71380</t>
  </si>
  <si>
    <t>F2G-CZ-62213</t>
  </si>
  <si>
    <t>RPS-CZ-58833</t>
  </si>
  <si>
    <t>RPS-I-39186</t>
  </si>
  <si>
    <t>RPS-FC-94638</t>
  </si>
  <si>
    <t>SI--GT-46479</t>
  </si>
  <si>
    <t>SI--GT-80988</t>
  </si>
  <si>
    <t>SI--GT-85963</t>
  </si>
  <si>
    <t>SI--GT-57678</t>
  </si>
  <si>
    <t>SI--GT-27017</t>
  </si>
  <si>
    <t>SI--GT-23732</t>
  </si>
  <si>
    <t>SI3-PL-24983</t>
  </si>
  <si>
    <t>SI3-PL-98898</t>
  </si>
  <si>
    <t>SI4-PL-53518</t>
  </si>
  <si>
    <t>SI4-PL-55295</t>
  </si>
  <si>
    <t>SI8-PL-53683</t>
  </si>
  <si>
    <t>SI8-PL-79485</t>
  </si>
  <si>
    <t>SI3-CZ-85269</t>
  </si>
  <si>
    <t>SI3-DC-69312</t>
  </si>
  <si>
    <t>SI4-CZ-80367</t>
  </si>
  <si>
    <t>SI4-DC-55919</t>
  </si>
  <si>
    <t>SI8-CZ-85980</t>
  </si>
  <si>
    <t>SI8-DC-98556</t>
  </si>
  <si>
    <t>SI--GT-92531</t>
  </si>
  <si>
    <t>SI--GT-60710</t>
  </si>
  <si>
    <t>SI--GT-78231</t>
  </si>
  <si>
    <t>SI--GT-57055</t>
  </si>
  <si>
    <t>SI--GT-70372</t>
  </si>
  <si>
    <t>SI--GT-58459</t>
  </si>
  <si>
    <t>SI--GT-38807</t>
  </si>
  <si>
    <t>SI--GT-40262</t>
  </si>
  <si>
    <t>SI--GT-90241</t>
  </si>
  <si>
    <t>SI--GT-83881</t>
  </si>
  <si>
    <t>SI--GT-58586</t>
  </si>
  <si>
    <t>SI--GT-37177</t>
  </si>
  <si>
    <t>SI--GT-35938</t>
  </si>
  <si>
    <t>SI--GT-46116</t>
  </si>
  <si>
    <t>SI--GT-98112</t>
  </si>
  <si>
    <t>SI--GT-96703</t>
  </si>
  <si>
    <t>SI--GT-77216</t>
  </si>
  <si>
    <t>SI--GT-29989</t>
  </si>
  <si>
    <t>SI--GT-88002</t>
  </si>
  <si>
    <t>SI--GT-50475</t>
  </si>
  <si>
    <t>SI--GT-41125</t>
  </si>
  <si>
    <t>SI--GT-80643</t>
  </si>
  <si>
    <t>J-B-Bx-94249</t>
  </si>
  <si>
    <t>J-B-B1-65928</t>
  </si>
  <si>
    <t>J-B-B1-47927</t>
  </si>
  <si>
    <t>J-B-B2-78383</t>
  </si>
  <si>
    <t>J-B-B4-58580</t>
  </si>
  <si>
    <t>J-B-B2-65099</t>
  </si>
  <si>
    <t>J-B-B2-36086</t>
  </si>
  <si>
    <t>J-B-B4-34775</t>
  </si>
  <si>
    <t>B10-CZ-36941</t>
  </si>
  <si>
    <t>B10-CZ-33824</t>
  </si>
  <si>
    <t>10G-XN-97859</t>
  </si>
  <si>
    <t>10G-XN-72346</t>
  </si>
  <si>
    <t>10G-XN-55707</t>
  </si>
  <si>
    <t>10G-XN-56375</t>
  </si>
  <si>
    <t>RPS-CZ-99208</t>
  </si>
  <si>
    <t>RPS-CZ-41226</t>
  </si>
  <si>
    <t>RPS-CZ-69263</t>
  </si>
  <si>
    <t>RPS-CZ-91669</t>
  </si>
  <si>
    <t>FAN-B3-66271</t>
  </si>
  <si>
    <t>S35-CZ-33904</t>
  </si>
  <si>
    <t>S35-DC-25211</t>
  </si>
  <si>
    <t>S35-S-32412</t>
  </si>
  <si>
    <t>S45-CZ-54534</t>
  </si>
  <si>
    <t>S45-DC-91149</t>
  </si>
  <si>
    <t>S45-S-71763</t>
  </si>
  <si>
    <t>S85-CZ-26210</t>
  </si>
  <si>
    <t>S85-DC-73591</t>
  </si>
  <si>
    <t>S85-S-28330</t>
  </si>
  <si>
    <t>E1M-SX-32073</t>
  </si>
  <si>
    <t>E1M-SX-31473</t>
  </si>
  <si>
    <t>E1M-LX-90945</t>
  </si>
  <si>
    <t>E1M-LH-68146</t>
  </si>
  <si>
    <t>E1M-TX-78115</t>
  </si>
  <si>
    <t>WSM-CZ-25209</t>
  </si>
  <si>
    <t>WSM-CZ-97327</t>
  </si>
  <si>
    <t>WSM-1-61562</t>
  </si>
  <si>
    <t>WSM-2-95466</t>
  </si>
  <si>
    <t>WSM-SS-31593</t>
  </si>
  <si>
    <t>WSM-SS-98194</t>
  </si>
  <si>
    <t>SRV-SS-91513</t>
  </si>
  <si>
    <t>SRV-SS-98358</t>
  </si>
  <si>
    <t>TRF-PR-29546</t>
  </si>
  <si>
    <t>SI--GT-58024</t>
  </si>
  <si>
    <t>TRF-S-91954</t>
  </si>
  <si>
    <t>IVI-NT-74555</t>
  </si>
  <si>
    <t>IVI-SO-87822</t>
  </si>
  <si>
    <t>IVI-LI-25984</t>
  </si>
  <si>
    <t>IVI-LI-39361</t>
  </si>
  <si>
    <t>IVI-IP-91214</t>
  </si>
  <si>
    <t>IVI-IP-97738</t>
  </si>
  <si>
    <t>IVI-IP-35628</t>
  </si>
  <si>
    <t>ACT-Co-37030</t>
  </si>
  <si>
    <t>ACT-FO-53433</t>
  </si>
  <si>
    <t>ACT-FO-81350</t>
  </si>
  <si>
    <t>ACT-FO-48853</t>
  </si>
  <si>
    <t>ACT-FO-57548</t>
  </si>
  <si>
    <t>ACT-FO-63266</t>
  </si>
  <si>
    <t>ACT-FO-33438</t>
  </si>
  <si>
    <t>ACT-FO-72104</t>
  </si>
  <si>
    <t>ACT-FO-60454</t>
  </si>
  <si>
    <t>RMK-70-41955</t>
  </si>
  <si>
    <t>RMK-70-62185</t>
  </si>
  <si>
    <t>RMK-70-31292</t>
  </si>
  <si>
    <t>RMK-70-25610</t>
  </si>
  <si>
    <t>RMK-70-72654</t>
  </si>
  <si>
    <t>RMK-BN-75161</t>
  </si>
  <si>
    <t>RMK-BN-40814</t>
  </si>
  <si>
    <t>RMK-BN-95614</t>
  </si>
  <si>
    <t>FTA-30-70832</t>
  </si>
  <si>
    <t>100-00-97359</t>
  </si>
  <si>
    <t>100-00-41621</t>
  </si>
  <si>
    <t>100-00-69162</t>
  </si>
  <si>
    <t>CC-CZ-36469</t>
  </si>
  <si>
    <t>007-12-51991</t>
  </si>
  <si>
    <t>PC--LC-96492</t>
  </si>
  <si>
    <t>PC--MT-40859</t>
  </si>
  <si>
    <t>PC--LC-47610</t>
  </si>
  <si>
    <t>PCU-3M-64063</t>
  </si>
  <si>
    <t>PCU-CZ-47273</t>
  </si>
  <si>
    <t>PCU-CZ-38599</t>
  </si>
  <si>
    <t>PCJ-CZ-87909</t>
  </si>
  <si>
    <t>PCE-CZ-86045</t>
  </si>
  <si>
    <t>PC1-CZ-99059</t>
  </si>
  <si>
    <t>PC1-NE-75295</t>
  </si>
  <si>
    <t>PC1-CZ-72882</t>
  </si>
  <si>
    <t>PC1-CZ-56184</t>
  </si>
  <si>
    <t>PCU-NE-27024</t>
  </si>
  <si>
    <t>WMK-70-27394</t>
  </si>
  <si>
    <t>PCJ-C1-35403</t>
  </si>
  <si>
    <t>PC1-CZ-27427</t>
  </si>
  <si>
    <t>PC1-CZ-95361</t>
  </si>
  <si>
    <t>PCA-CZ-79762</t>
  </si>
  <si>
    <t>PC1-IE-39295</t>
  </si>
  <si>
    <t>PCC-IE-49890</t>
  </si>
  <si>
    <t>BMP-10-40325</t>
  </si>
  <si>
    <t>RSK-30-99883</t>
  </si>
  <si>
    <t>RMK-70-30529</t>
  </si>
  <si>
    <t>RMK-70-71963</t>
  </si>
  <si>
    <t>104-00-70258</t>
  </si>
  <si>
    <t>FTA-30-85564</t>
  </si>
  <si>
    <t>014-11-70739</t>
  </si>
  <si>
    <t>014-14-56223</t>
  </si>
  <si>
    <t>014-00-77258</t>
  </si>
  <si>
    <t>014-00-68284</t>
  </si>
  <si>
    <t>014-01-45261</t>
  </si>
  <si>
    <t>014-03-53690</t>
  </si>
  <si>
    <t>014-02-82089</t>
  </si>
  <si>
    <t>014-10-94597</t>
  </si>
  <si>
    <t>014-10-39800</t>
  </si>
  <si>
    <t>014-10-41574</t>
  </si>
  <si>
    <t>014-10-38381</t>
  </si>
  <si>
    <t>014-14-98022</t>
  </si>
  <si>
    <t>014-14-90371</t>
  </si>
  <si>
    <t>BI--RX-71479</t>
  </si>
  <si>
    <t>NI--ML-93226</t>
  </si>
  <si>
    <t>NI--XM-90238</t>
  </si>
  <si>
    <t>SSU-CZ-44650</t>
  </si>
  <si>
    <t>RSU-CZ-33443</t>
  </si>
  <si>
    <t>SCU-CZ-72317</t>
  </si>
  <si>
    <t>RCU-CZ-57840</t>
  </si>
  <si>
    <t>SLB-CZ-65958</t>
  </si>
  <si>
    <t>SLB-CZ-47667</t>
  </si>
  <si>
    <t>CDD-CZ-84824</t>
  </si>
  <si>
    <t>IVI-SW-84106</t>
  </si>
  <si>
    <t>ON--SI-75748</t>
  </si>
  <si>
    <t>EIM-CW optic, 80Km, 1470nm, LC connector</t>
  </si>
  <si>
    <t>EIM-CW optic, 80Km, 1490nm, LC connector</t>
  </si>
  <si>
    <t>EIM-CW optic, 80Km, 1510nm, LC connector</t>
  </si>
  <si>
    <t>EIM-CW optic, 80Km, 1530nm, LC connector</t>
  </si>
  <si>
    <t>EIM-CW optic, 80Km, 1550nm, LC connector</t>
  </si>
  <si>
    <t>EIM-CW optic, 80Km, 1570nm, LC connector</t>
  </si>
  <si>
    <t>EIM-CW optic, 80Km, 1590nm, LC connector</t>
  </si>
  <si>
    <t>EIM-CW optic, 80Km, 1610nm, LC connector</t>
  </si>
  <si>
    <t>EIF 24-port 10/100/1000 with 4-port SFP combo slots.</t>
  </si>
  <si>
    <t>EIF 48-port 10/100/1000 with 4-port SFP combo slots.</t>
  </si>
  <si>
    <t>EIF 8-port 10GbE with complete Layer 2 SW. 8-port XFP slots that support SR, LR, and ER XFP optics. XFP optics must be purchased and shipped separately.</t>
  </si>
  <si>
    <t>Console Port Cable EIF Series</t>
  </si>
  <si>
    <t xml:space="preserve">Power Cord for use with the EIF, the RPS5, the RPS8, the RPS-X424, &amp; the RPS-X448 in Australia. </t>
  </si>
  <si>
    <t>FES 12GCF Layer 3 Software upgrade</t>
  </si>
  <si>
    <t>220W, -48vDC power supply for FES Switch Family</t>
  </si>
  <si>
    <t xml:space="preserve">FES Switch 9604 rack mount kit. </t>
  </si>
  <si>
    <t>FES Switch Wall Mounts</t>
  </si>
  <si>
    <t>Layer 3 Upgrade for FES31560</t>
  </si>
  <si>
    <t>Layer 3 Upgrade for FES92979</t>
  </si>
  <si>
    <t>Layer 3 Upgrade for FES78605</t>
  </si>
  <si>
    <t>600W, AC power supply for FES PO only</t>
  </si>
  <si>
    <t>600W, DC power supply for FES PO only</t>
  </si>
  <si>
    <t>EIF with 8-port XFP slots and complete L2 SW.</t>
  </si>
  <si>
    <t>FES-PO with L2/BaseL3 SW and 24 10/100Base-T ports with 2 Combo GbE port that supports copper and fiber connectivity. For fiber, SX (MMF), LX (SMF), and LHA (SMF) SFP optics are supported. Includes one (1) AC PS.</t>
  </si>
  <si>
    <t>FES-PO with L2/BaseL3 SW and 48 10/100Base-T ports each supporting IEEE 802.3af-compliant Power over Ethernet (PoE) plus 2 Combo GbE port that supports copper and fiber connectivity. Includes one (1) AC PS.</t>
  </si>
  <si>
    <t>FES-PO with Full Layer 3 SW and 24 10/100Base-T ports that include support for IEEE 802.3af-compliant Power over Ethernet (PoE) with 2 Combo GbE port that supports copper and fiber connectivity. For fiber, SX (MMF), LX (SMF), and LHA (SMF)</t>
  </si>
  <si>
    <t>FES-PO with Full Layer 3 SW and 48 10/100Base-T ports each supporting IEEE 802.3af-compliant Power over Ethernet (PoE) plus 2 Combo GbE port that supports copper and fiber connectivity. Includes one (1) AC PS.</t>
  </si>
  <si>
    <t>600W,  AC PS FES-PO Only</t>
  </si>
  <si>
    <t>600W, DC power supply for FES-PO only</t>
  </si>
  <si>
    <t>FES-PO includes 24-port 10/100/1000 802.3af with 4-port Combo copper/fiber Gigabit Ethernet ports 10/100/1000 Mbps (RJ45) or Gigabit Ethernet Fiber (SFP) connectivity per port and one AC power supply.</t>
  </si>
  <si>
    <t>FES-PO with Base L3 SW, 24-port 10/100/1000 802.3af with 4-port Combo &amp; 1 AC PS.</t>
  </si>
  <si>
    <t>FES-PO-DC includes 24-port 10/100/1000 802.3af with 4-port Combo copper/fiber Gigabit Ethernet ports 10/100/1000 Mbps (RJ45) or Gigabit Ethernet Fiber (SFP) connectivity per port and one DC power supply.</t>
  </si>
  <si>
    <t>FES-PO-DC with Base L3 SW, 24-port 10/100/1000 802.3af with 4-port Combo &amp; 1 DC PS.</t>
  </si>
  <si>
    <t>FES-PO+1XG includes 24-port 10/100/1000 802.3af with 4-port Combo copper/fiber Gigabit Ethernet ports 10/100/1000 Mbps (RJ45) or Gigabit Ethernet Fiber (SFP) connectivity per port, 1-port XFP 10 Gigabit Ethernet and one AC power supply.</t>
  </si>
  <si>
    <t>FES-PO+1XG with Base L3 SW, 24-port 10/100/1000 802.3af with 4-port Combo, 1-port XFP 10GbE &amp; 1 AC PS.</t>
  </si>
  <si>
    <t>FES-PO+1XG-DC includes 24-port 10/100/1000 802.3af with 4-port Combo copper/fiber Gigabit Ethernet ports 10/100/1000 Mbps (RJ45) or Gigabit Ethernet Fiber (SFP) connectivity per port, 1-port XFP 10 Gigabit Ethernet and one DC power supply.</t>
  </si>
  <si>
    <t>FES-PO+1XG-DC with Base L3 SW, 24-port 10/100/1000 802.3af with 4-port Combo, 1-port XFP 10GbE, &amp; 1 DC PS.</t>
  </si>
  <si>
    <t>FES-PO+2XG includes 24-port 10/100/1000 802.3af with 4-port Combo copper/fiber Gigabit Ethernet ports 10/100/1000 Mbps (RJ45) or Gigabit Ethernet Fiber (SFP) connectivity per port, 2-port XFP 10 Gigabit Ethernet and one AC power supply.</t>
  </si>
  <si>
    <t>FES-PO+2XG with Base L3 SW, 24-port 10/100/1000 802.3af with 4-port Combo, 2-port XFP 10GbE, &amp; 1 AC PS.</t>
  </si>
  <si>
    <t>FES-PO+2XG-DC includes 24-port 10/100/1000 802.3af with 4-port Combo copper/fiber Gigabit Ethernet ports 10/100/1000 Mbps (RJ45) or Gigabit Ethernet Fiber (SFP) connectivity per port, 2-port XFP 10 Gigabit Ethernet and one DC power supply.</t>
  </si>
  <si>
    <t>FES-PO+2XG-DC with Base L3 SW, 24-port 10/100/1000 802.3af with 4-port Combo, 2-port XFP 10GbE, &amp; 1 DC PS.</t>
  </si>
  <si>
    <t>FES-PO-PREM premium (PREM) includes 24-port 10/100/1000 802.3af with 4-port Combo copper/fiber Gigabit Ethernet ports 10/100/1000 Mbps (RJ45) or Gigabit Ethernet Fiber (SFP) connectivity per port and one AC power supply.</t>
  </si>
  <si>
    <t>FES-PO-PREM with full L3 SW, 24-port 10/100/1000 802.3af with 4-port Combo &amp; 1 AC PS.</t>
  </si>
  <si>
    <t>FES-PO-PREM-DC premium (PREM) includes 24-port 10/100/1000 802.3af with 4-port Combo copper/fiber Gigabit Ethernet ports 10/100/1000 Mbps (RJ45) or Gigabit Ethernet Fiber (SFP) connectivity per port and one DC power supply.</t>
  </si>
  <si>
    <t>FES-PO-PREM-DC with full L3 SW, 24-port 10/100/1000 802.3af with 4-port Combo &amp; 1 DC PS.</t>
  </si>
  <si>
    <t xml:space="preserve">FES-PO+1XG-PREM premium (PREM) includes 24-port 10/100/1000 802.3af with 4-port Combo copper/fiber Gigabit Ethernet ports 10/100/1000 Mbps (RJ45) or Gigabit Ethernet Fiber (SFP) connectivity per port, 1-port XFP 10 Gigabit Ethernet, and one AC power supply. </t>
  </si>
  <si>
    <t>FES-PO+1XG-PREM with full L3 SW, 24-port 10/100/1000 802.3af with 4-port Combo, 1-port XFP 10GbE, &amp; 1 AC PS.</t>
  </si>
  <si>
    <t>FES-PO+1XG-PREM-DC premium (PREM) includes 24-port 10/100/1000 802.3af with 4-port Combo copper/fiber Gigabit Ethernet ports 10/100/1000 Mbps (RJ45) or Gigabit Ethernet Fiber (SFP) connectivity per port, 1-port XFP 10 Gigabit Ethernet and one DC power supply.</t>
  </si>
  <si>
    <t>FES-PO+1XG-PREM-DC with full L3 SW, 24-port 10/100/1000 802.3af with 4-port Combo, 1-port XFP 10GbE, &amp; 1 DC PS.</t>
  </si>
  <si>
    <t>FES-PO+2XG-PREM premium (PREM) includes 24-port 10/100/1000 802.3af with 4-port Combo copper/fiber Gigabit Ethernet ports 10/100/1000 Mbps (RJ45) or Gigabit Ethernet Fiber (SFP) connectivity per port, 2-port XFP 10 Gigabit Ethernet and one AC power supply.</t>
  </si>
  <si>
    <t>FES-PO+2XG-PREM with full L3 SW, 24-port 10/100/1000 802.3af with 4-port Combo, 2-port XFP, &amp; 1 AC PS.</t>
  </si>
  <si>
    <t>FES-PO+2XG-PREM-DC premium (PREM) includes 24-port 10/100/1000 802.3af with 4-port Combo copper/fiber Gigabit Ethernet ports 10/100/1000 Mbps (RJ45) or Gigabit Ethernet Fiber (SFP) connectivity per port, 2-port XFP 10 Gigabit Ethernet and one DC power supply.</t>
  </si>
  <si>
    <t>FES-PO+2XG-PREM-DC with full L3 SW, 24-port 10/100/1000 802.3af with 4-port Combo, 2-port XFP 10GbE, &amp; 1 DC PS.</t>
  </si>
  <si>
    <t>Redundant power supply (600W) for the FES-PO only!</t>
  </si>
  <si>
    <t>Redundant DC for the FES-PO</t>
  </si>
  <si>
    <t>RPS DC for the FES-PO</t>
  </si>
  <si>
    <t>FES-port 10/100Base-TX (RJ45) plus 2-port 1000Base-T and 1000Base-X (SFP) with AC power supply</t>
  </si>
  <si>
    <t>FES-port 10/100Base-TX (RJ45) plus 4-port 1000Base-T and 1000Base-X (SFP) with AC power supply</t>
  </si>
  <si>
    <t>FES-T and SFP slots for fiber optics (SX, LX, and LHA), and one AC power supply.</t>
  </si>
  <si>
    <t>FES-T and SFP slots for fiber optics (SX, LX, and LHA), and one DC power supply.</t>
  </si>
  <si>
    <t>FES-port 10/100/1000 with 4-port Combo copper/fiber Gigabit Ethernet ports 10/100/1000 Mbps (RJ45) or Gigabit Ethernet Fiber (SFP) connectivity per port, and one AC power supply.</t>
  </si>
  <si>
    <t>FES-45), 4-port Combo GbE, &amp; 1 AC PS.</t>
  </si>
  <si>
    <t>FES-port 10/100/1000 with 4-port Combo copper/fiber Gigabit Ethernet ports 10/100/1000 Mbps (RJ45) or Gigabit Ethernet Fiber (SFP) connectivity per port and one AC power supply.</t>
  </si>
  <si>
    <t>FES-45) with 4-port Combo GbE, &amp; 1 AC PS.</t>
  </si>
  <si>
    <t>FES-port 10/100/1000 with 4-port Combo copper/fiber Gigabit Ethernet ports 10/100/1000 Mbps (RJ45) or Gigabit Ethernet Fiber (SFP) connectivity per port and one DC power supply.</t>
  </si>
  <si>
    <t>FES-45) with 4-port Combo GbE, &amp; 1 DC PS.</t>
  </si>
  <si>
    <t xml:space="preserve">FES-port 10/100/1000 with 4-port Combo copper/fiber Gigabit Ethernet ports 10/100/1000 Mbps (RJ45) or Gigabit Ethernet Fiber (SFP) connectivity per port, 1-port XFP 10 Gigabit Ethernet and one AC power supply. </t>
  </si>
  <si>
    <t>FES-45), 4-port Combo GbE, 1-slot XFP, &amp; 1 AC PS.</t>
  </si>
  <si>
    <t>FES-port 10/100/1000 with 4-port Combo copper/fiber Gigabit Ethernet ports 10/100/1000 Mbps (RJ45) or Gigabit Ethernet Fiber (SFP) connectivity per port, 1-port XFP 10 Gigabit Ethernet, and one AC power supply.</t>
  </si>
  <si>
    <t xml:space="preserve">FES-port 10/100/1000 with 4-port Combo copper/fiber Gigabit Ethernet ports 10/100/1000 Mbps (RJ45) or Gigabit Ethernet Fiber (SFP) connectivity per port, 1-port XFP 10 Gigabit Ethernet, and one DC power supply. </t>
  </si>
  <si>
    <t>FES-45), 4-port Combo GbE, 1-slot XFP, &amp; 1 DC PS.</t>
  </si>
  <si>
    <t>FES-port 10/100/1000 with 4-port Combo copper/fiber Gigabit Ethernet ports 10/100/1000 Mbps (RJ45) or Gigabit Ethernet Fiber (SFP) connectivity per port, 1-port XFP 10 Gigabit Ethernet, and one DC power supply.</t>
  </si>
  <si>
    <t>FES-45) with 4-port Combo GbE, 1-slot XFP, &amp; 1 DC PS.</t>
  </si>
  <si>
    <t xml:space="preserve">FES-port 10/100/1000 with 4-port Combo copper/fiber Gigabit Ethernet ports 10/100/1000 Mbps (RJ45) or Gigabit Ethernet Fiber (SFP) connectivity per port, 2-port XFP 10 Gigabit Ethernet, and one AC power supply. </t>
  </si>
  <si>
    <t>FES-45) with 4-port Combo GbE, 2-slot XFP, &amp; 1 AC PS.</t>
  </si>
  <si>
    <t xml:space="preserve">FES-port 10/100/1000 with 4-port Combo copper/fiber Gigabit Ethernet ports 10/100/1000 Mbps (RJ45) or Gigabit Ethernet Fiber (SFP) connectivity per port, 2-port XFP 10 Gigabit Ethernet, 400 MHz processor, 128 MB SDRAM, and one AC power supply. </t>
  </si>
  <si>
    <t>FES-45), 4-port Combo GbE, 2-slot XFP, &amp; 1 AC PS.</t>
  </si>
  <si>
    <t xml:space="preserve">FES-port 10/100/1000 with 4-port Combo copper/fiber Gigabit Ethernet ports 10/100/1000 Mbps (RJ45) or Gigabit Ethernet Fiber (SFP) connectivity per port, 400 MHz processor, 2-port XFP 10 Gigabit Ethernet, 128 MB SDRAM, and one DC power supply. </t>
  </si>
  <si>
    <t>FES-45) with 4-port Combo GbE, 2-slot XFP, &amp; 1 DC PS.</t>
  </si>
  <si>
    <t xml:space="preserve">FES-port 10/100/1000 with 4-port Combo copper/fiber Gigabit Ethernet ports 10/100/1000 Mbps (RJ45) or Gigabit Ethernet Fiber (SFP) connectivity per port, 2-port XFP 10 Gigabit Ethernet, 400 MHz processor, 128 MB SDRAM, and one DC power supply. </t>
  </si>
  <si>
    <t>FES-45), 4-port Combo GbE, 2-slot XFP, &amp; 1 DC PS.</t>
  </si>
  <si>
    <t xml:space="preserve">FES-port 10/100/1000 with 4-port Combo copper/fiber Gigabit Ethernet ports 10/100/1000 Mbps (RJ45) or Gigabit Ethernet Fiber (SFP) connectivity per port and one AC power supply. </t>
  </si>
  <si>
    <t>FES-port 10/100/1000 SFP with 4-port Combo copper/fiber Gigabit Ethernet ports 10/100/1000 Mbps (RJ45) or Gigabit Ethernet Fiber (SFP) connectivity per port and one AC power supply.</t>
  </si>
  <si>
    <t>FES-port 10/100/1000 (RJ-45) with 4-port Combo copper/fiber Gigabit Ethernet ports 10/100/1000 Mbps (RJ45) or Gigabit Ethernet Fiber (SFP) connectivity per port and one DC power supply.</t>
  </si>
  <si>
    <t>FES-45) with 4-port Combo, &amp; 1 DC PS.</t>
  </si>
  <si>
    <t xml:space="preserve">FES-port 10/100/1000 (RJ-45) with 4-port Combo copper/fiber Gigabit Ethernet ports 10/100/1000 Mbps (RJ45) or Gigabit Ethernet Fiber (SFP) connectivity per port and one DC power supply. </t>
  </si>
  <si>
    <t>FES-port 10/100/1000 (RJ-45) with 4-port Combo, &amp; 1 DC PS.</t>
  </si>
  <si>
    <t>FES-port 10/100/1000 with 4-port Combo copper/fiber Gigabit Ethernet ports 10/100/1000 Mbps (RJ45) or Gigabit Ethernet Fiber (SFP) connectivity per port, 1-port XFP 10 Gigabit Ethernet and one AC power supply.</t>
  </si>
  <si>
    <t>FES-45) with 4-port Combo GbE, 1-slot XFP, &amp; 1 AC PS.</t>
  </si>
  <si>
    <t>FES-port 10/100/1000 (RJ-45) with 4-port Combo copper/fiber Gigabit Ethernet ports 10/100/1000 Mbps (RJ45) or Gigabit Ethernet Fiber (SFP) connectivity per port, 1-port XFP 10 Gigabit Ethernet and one DC power supply.</t>
  </si>
  <si>
    <t>FES-port 10/100/1000 (RJ-45) with 4-port Combo, 1-port XFP 10GbE, &amp; 1 DC PS.</t>
  </si>
  <si>
    <t>FES-port 10/100/1000 SFP with 4-port Combo copper/fiber Gigabit Ethernet ports 10/100/1000 Mbps (RJ45) or Gigabit Ethernet Fiber (SFP) connectivity per port, 1-port XFP 10 Gigabit Ethernet and one AC power supply.</t>
  </si>
  <si>
    <t>FES-port 10/100/1000 with 4-port Combo copper/fiber Gigabit Ethernet ports 10/100/1000 Mbps (RJ45) or Gigabit Ethernet Fiber (SFP) connectivity per port, 2-port XFP 10 Gigabit Ethernet and one AC power supply.</t>
  </si>
  <si>
    <t>FES-port 10/100/1000 SFP with 4-port Combo copper/fiber Gigabit Ethernet ports 10/100/1000 Mbps (RJ45) or Gigabit Ethernet Fiber (SFP) connectivity per port, 2-port XFP 10 Gigabit Ethernet and one AC power supply.</t>
  </si>
  <si>
    <t>FES-port 10/100/1000 (RJ-45) with 4-port Combo copper/fiber Gigabit Ethernet ports 10/100/1000 Mbps (RJ45) or Gigabit Ethernet Fiber (SFP) connectivity per port, 2-port XFP 10 Gigabit Ethernet and one DC power supply.</t>
  </si>
  <si>
    <t>FES-port 10/100/1000 (RJ-45) with 4-port Combo, 2-port XFP 10GbE, &amp; 1 DC PS.</t>
  </si>
  <si>
    <t>FES-port 10/100/1000 ports (RJ-45) with 4-port Combo, 2-port XFP 10GbE, &amp; 1 DC PS.</t>
  </si>
  <si>
    <t>FES-port 100/1000 SFP with 4-port Combo copper/fiber Gigabit Ethernet ports 10/100/1000 Mbps (RJ45) or Gigabit Ethernet Fiber (SFP) connectivity per port and one AC power supply.</t>
  </si>
  <si>
    <t>FES-port 100/1000 SFP with 4-port Combo &amp; 1 AC PS.</t>
  </si>
  <si>
    <t>FES-port 100/1000 SFP with 4-port Combo copper/fiber Gigabit Ethernet ports 10/100/1000 Mbps (RJ45) or Gigabit Ethernet Fiber (SFP) connectivity per port and one DC power supply.</t>
  </si>
  <si>
    <t>FES-port 100/1000 SFP with 4-port Combo &amp; 1 DC PS.</t>
  </si>
  <si>
    <t>FES-port 100/1000 SFP with 4-port Combo copper/fiber Gigabit Ethernet ports 10/100/1000 Mbps (RJ45) or Gigabit Ethernet Fiber (SFP) connectivity per port, 1-port XFP 10 Gigabit Ethernet and one AC power supply.</t>
  </si>
  <si>
    <t>FES-port 100/1000 SFP with 4-port Combo, 1-port XFP 10GbE &amp; 1 AC PS.</t>
  </si>
  <si>
    <t>FES-port 100/1000 SFP with 4-port Combo copper/fiber Gigabit Ethernet ports 10/100/1000 Mbps (RJ45) or Gigabit Ethernet Fiber (SFP) connectivity per port, 1-port XFP 10 Gigabit Ethernet, and one AC power supply.</t>
  </si>
  <si>
    <t>FES-port 100/1000 SFP with 4-port Combo, 1-port XFP 10GbE, &amp; 1 AC PS.</t>
  </si>
  <si>
    <t>FES-port 100/1000 SFP with 4-port Combo copper/fiber Gigabit Ethernet ports 10/100/1000 Mbps (RJ45) or Gigabit Ethernet Fiber (SFP) connectivity per port, 1-port XFP 10 Gigabit Ethernet, and one DC power supply.</t>
  </si>
  <si>
    <t>FES-port 100/1000 SFP with 4-port Combo, 1-port XFP 10GbE, &amp; 1 DC PS.</t>
  </si>
  <si>
    <t>FES-port 100/1000 SFP with 4-port Combo copper/fiber Gigabit Ethernet ports 10/100/1000 Mbps (RJ45) or Gigabit Ethernet Fiber (SFP) connectivity per port, 1-port XFP 10 Gigabit Ethernet and one DC power supply.</t>
  </si>
  <si>
    <t>FES-port 100/1000 SFP with 4-port Combo copper/fiber Gigabit Ethernet ports 10/100/1000 Mbps (RJ45) or Gigabit Ethernet Fiber (SFP) connectivity per port, 2-port XFP 10 Gigabit Ethernet and one AC power supply.</t>
  </si>
  <si>
    <t>FES-port 100/1000 SFP with 4-port Combo, 2-port XFP 10GbE, &amp; 1 AC PS.</t>
  </si>
  <si>
    <t>FES-port 100/1000 SFP with 4-port Combo, 2-port XFP, &amp; 1 AC PS.</t>
  </si>
  <si>
    <t>FES-port 100/1000 SFP with 4-port Combo copper/fiber Gigabit Ethernet ports 10/100/1000 Mbps (RJ45) or Gigabit Ethernet Fiber (SFP) connectivity per port, 2-port XFP 10 Gigabit Ethernet and one DC power supply.</t>
  </si>
  <si>
    <t>FES-port 100/1000 SFP with 4-port Combo, 2-port XFP 10GbE, &amp; 1 DC PS.</t>
  </si>
  <si>
    <t xml:space="preserve">FES-port 100/1000 SFP with 4-port Combo copper/fiber Gigabit Ethernet ports 10/100/1000 Mbps (RJ45) or Gigabit Ethernet Fiber (SFP) connectivity per port, 2-port XFP 10 Gigabit Ethernet and one DC power supply. </t>
  </si>
  <si>
    <t>Layer 3 software upgrade for the 24-port FES-SM, PIM-DM, and DVMRP</t>
  </si>
  <si>
    <t>Layer 3 software upgrade for the 48-port FES-SM, PIM-DM and DVMRP. BGP4 requires software release 2.1.01 a</t>
  </si>
  <si>
    <t>FGS L2 SW, 24 10/100/1000 POE upgradeable ports (RJ-45), 4-port Combo 100/1000, &amp; 1 AC PS.</t>
  </si>
  <si>
    <t>FGS L2 SW, 24 10/100/1000 POE upgradeable ports (RJ-45), 4-port Combo 100/1000, &amp; 1 DC PS.</t>
  </si>
  <si>
    <t>FGS L2 SW, 24 10/100/1000 POE ready ports (RJ-45), 4-port Combo 100/1000, &amp; 1 AC PS.</t>
  </si>
  <si>
    <t>FGS L2 SW, 24 10/100/1000 POE ready ports (RJ-45), 4-port Combo 100/1000, &amp; 1 DC PS.</t>
  </si>
  <si>
    <t>FGS L2 SW, 48 10/100/1000 POE upgradeable ports (RJ-45), 4-port Combo 100/1000, &amp; 1 AC PS.</t>
  </si>
  <si>
    <t>FGS L2 SW, 48 10/100/1000 POE upgradeable ports (RJ-45), 4-port Combo 100/1000, &amp; 1 DC PS.</t>
  </si>
  <si>
    <t>FGS L2 SW, 48 10/100/1000 POE ready ports (RJ-45), 4-port Combo 100/1000, &amp; 1 AC PS.</t>
  </si>
  <si>
    <t>FGS L2 SW, 48 10/100/1000 POE ready ports (RJ-45), 4-port Combo 100/1000, &amp; 1DC PS.</t>
  </si>
  <si>
    <t>FGS 2 Label</t>
  </si>
  <si>
    <t>remote office buildings</t>
  </si>
  <si>
    <t>main floors</t>
  </si>
  <si>
    <t>fibre distribution</t>
  </si>
  <si>
    <t>building core</t>
  </si>
  <si>
    <t>data centre</t>
  </si>
  <si>
    <t>Documentation for all TRON products in Adobe Acrobat format on CD-ROM.</t>
  </si>
  <si>
    <t>FES-DC with integrated TRONPoint WLAN/L2 SW and 24-port 10/100Base-TX (RJ45) plus 2-port 1000Base-T and 1000Base-X (SFP) with -48vDC power supply</t>
  </si>
  <si>
    <t>FES-DC with integrated TRONPoint WLAN/L2 SW and 48-port 10/100Base-TX (RJ45) plus 2-port 1000Base-T and 1000Base-X (SFP) with -48vDC power supply</t>
  </si>
  <si>
    <t>FES-DC with integrated TRONPoint WLAN/L2 SW and 96-port 10/100Base-TX (RJ45) plus 4-port 1000Base-T and 1000Base-X (SFP) with -48vDC power supply</t>
  </si>
  <si>
    <t>FES-PO with integrated TRONPoint WLAN/L2 SW and 24-port 10/100Base-T with 2 Combo GbE ports that supports copper and fiber connectivity. For fiber, SX (MMF), LX (SMF), and LHA (SMF) SFP optics are supported. Includes one (1) AC PS.</t>
  </si>
  <si>
    <t>FES-PO with integrated TRONPoint WLAN/L2 SW and 48-port 10/100Base-T with 2 Combo GbE ports that supports copper and fiber connectivity. For fiber, SX (MMF), LX (SMF), and LHA (SMF) SFP optics are supported. Includes one (1) AC PS.</t>
  </si>
  <si>
    <t>Integrated TRONPoint wireless LAN upgrade kit for FES-PO versions.</t>
  </si>
  <si>
    <t>TRONPoint WLAN upgrade kit for FES Switch</t>
  </si>
  <si>
    <t>220W, AC power supply for FES Switch Family and NetTRON Metro Router</t>
  </si>
  <si>
    <t>TRONPoint Mobility Series MC500 Mobility Controller for 5 Mobility Series Access Points. Dual 10/100 Mbps Fast Ethernet uplinks.</t>
  </si>
  <si>
    <t>TRONPoint Mobility Series MC1000 Mobility Controller for 15 Mobility Series Access Points. Dual 10/100/1000 Mbps Gigabit Ethernet uplinks.</t>
  </si>
  <si>
    <t>TRONPoint Mobility Series MC1000 Mobility Controller for 30 Mobility Series Access Points. Dual 10/100/1000 Mbps Gigabit Ethernet uplinks.</t>
  </si>
  <si>
    <t>TRONPoint Mobility Series MC3000 Mobility Controller for 25 Mobility Series Access Points.Dual 10/100/1000 Mbps Gigabit Ethernet uplinks.</t>
  </si>
  <si>
    <t>TRONPoint Mobility Series MC3000 Mobility Controller for 50 Mobility Series Access Points.Dual 10/100/1000 Mbps Gigabit Ethernet uplinks.</t>
  </si>
  <si>
    <t>TRONPoint Mobility Series MC3000 Mobility Controller for 75 Mobility Series Access Points.Dual 10/100/1000 Mbps Gigabit Ethernet uplinks.</t>
  </si>
  <si>
    <t>TRONPoint Mobility Series MC3000 Mobility Controller for 100 Mobility Series Access Points.Dual 10/100/1000 Mbps Gigabit Ethernet uplinks.</t>
  </si>
  <si>
    <t>TRONPoint Mobility Series MC3000 Mobility Controller for 150 Mobility Series Access Points.Dual 10/100/1000 Mbps Gigabit Ethernet uplinks.</t>
  </si>
  <si>
    <t>TRONPoint Mobility Series AP150 Access Point. For use with TRONPoint Mobility Series MC500, MC1000 and MC3000 Mobility Controllers (sold separately). Dual wireless interfaces, one for 802.11a and one for 802.11g/b. Includes wall mounting bracket and screws. Ceiling mounting bracket sold separately. Two dual-band 802.11a/b/g omni-directional antennas included: 2.4 Ghz (4dBi) and 5 Ghz (5 dBi). RP SMA Female connector for optional external antennas. Requires 802.3af power over Ethernet switches or inline power injectors (sold separately).</t>
  </si>
  <si>
    <t>TRONPoint Mobility Series AP200 single radio Access Point for TRONPoint Mobility Series Controllers. Configurable for  802.11a or 802.11g/b support. Includes mounting bracket and screws. Dual band 802.11a/b/g omindirectional antennas: 2.4 Ghz (4dBi) and 5 Ghz (5 dBi). RP SMA Female connector for optional external antennas. Plenum rated when plastic cover is removed.</t>
  </si>
  <si>
    <t>TRONPoint Mobility Series AP 200 single radio wireless Access Point</t>
  </si>
  <si>
    <t>TRONPoint Mobility Series AP200 dual radio Access Point for TRONPoint Mobility Series Controllers. Simultaneous 802.11a and 802.11g/b support. Includes mounting bracket and screws. Dual band 802.11a/b/g omindirectional antennas: 2.4 Ghz (4dBi) and 5 Ghz (5 dBi). RP SMA Female connector for optional external antennas. Plenum rated when plastic cover is removed.</t>
  </si>
  <si>
    <t>TRONPoint Mobility Series AP 200 dual radio wireless Access Point</t>
  </si>
  <si>
    <t>TRONPoint Mobility Series RS4000 Radio Switch with omni-directional antenna. For use with TRONPoint Mobility Series MC500, MC1000 and MC3000 Mobility Controllers (sold separately).  4 wireless interfaces, two for 802.11a and two for 802.11g/b. Includes 2.4GHz &amp; 5GHz 360 Degree Omni-Directional multi-channel antenna, 3ft Antenna Cables and wall/ceiling mounting accessories.</t>
  </si>
  <si>
    <t>TRONPoint Mobility Series RS4000 Radio Switch with 180 degree directional antenna. For use with TRONPoint Mobility Series MC500, MC1000 and MC3000 Mobility Controllers (sold separately).  4 wireless interfaces, two for 802.11a and two for 802.11g/b. Includes 2.4GHz &amp; 5GHz 180 degree Directional multi-channel antenna, 3ft Antenna Cables and wall/ceiling mounting accessories.</t>
  </si>
  <si>
    <t>2.4 GHz 802.11 b/g Ceiling Mount Omindirectional Antenna (5.5 dBi) for TRONPoint Mobility Series AP200 Access Point - 3 foot pigtail and mounting hardware included</t>
  </si>
  <si>
    <t>2.4 GHz 802.11 b/g Ceiling Mount Bi-directional Antenna (4 dBi) for TRONPoint Mobility Series AP200 Access Point - 0.5 foot pigtail and mounting hardware included</t>
  </si>
  <si>
    <t>2.4 GHz 802.11 b/g Directional Panel Antenna (13 dBi) for TRONPoint Mobility Series AP200 Access Point - 1 foot pigtail and mounting hardware is sold seperately</t>
  </si>
  <si>
    <t>2.4 GHz 802.11 b/g Ceiling Mount Omindirectional Diversity Antenna (2.5 dBi) for TRONPoint Mobility Series AP200 Access Point - 3 foot pigtail and mounting hardware included</t>
  </si>
  <si>
    <t>1 Foot RF Extension Cable: RP-SMA-MALE to RP-SMA-FEMALE for TRONPoint Mobility Series AP200 Access Point - Plenum rated</t>
  </si>
  <si>
    <t>3 Foot RF Extension Cable: RP-SMA-MALE to RP-SMA-FEMALE for TRONPoint Mobility Series AP200 Access Point - Plenum rated</t>
  </si>
  <si>
    <t>10 Foot RF Extension Cable: RP-SMA-MALE to RP-SMA-FEMALE for TRONPoint Mobility Series AP200 Access Point - Plenum rated</t>
  </si>
  <si>
    <t>Suspended Ceiling Rail Mounting Kit for TRONPoint Mobility Series AP200 Access Point</t>
  </si>
  <si>
    <t>Above Suspended Ceiling Mounting Kit (T-Bar Hanger) for TRONPoint Mobility Series AP200 Access Point</t>
  </si>
  <si>
    <t>TRONPoint Wireless Location Manager</t>
  </si>
  <si>
    <t>TRON TRONPoint Omni-Directional Patch Antenna - 802.11B/G (2.4 GHZ)</t>
  </si>
  <si>
    <t>TRON TRONPoint Directional Panel Antenna - 802.11 B/G (2.4 GHZ)</t>
  </si>
  <si>
    <t>TRON TRONPower 100 - Single Port Mid Span Power Injector</t>
  </si>
  <si>
    <t>TRON TRONPower 600 - Six Port Mid Span Power Injector</t>
  </si>
  <si>
    <t>TRON TRONPower 600-19" rack installation kit</t>
  </si>
  <si>
    <t>BigTRON RX-16 Chassis 1 MR, 3 SWF3, 4 DC PS and Fan assy</t>
  </si>
  <si>
    <t>BigTRON RX-8 Chassis 1 MR, 2 SFM3, 2 DC Power Supplies and Fan assy</t>
  </si>
  <si>
    <t>BigTRON RX-4 Chassis 1 MR, 2 SFM1, 1 DC Power Supply and Fan assy</t>
  </si>
  <si>
    <t>Management Module BigTRON RX-Series</t>
  </si>
  <si>
    <t>Management Module with 2 GB memory for BigTRON RX-Series</t>
  </si>
  <si>
    <t>Management Module with 2GB memory for BigTRON RX-Series</t>
  </si>
  <si>
    <t>Switch Fabric for BigTRON RX-16 and RX-8 Chassis</t>
  </si>
  <si>
    <t>Switch Fabric for BigTRON RX-4 Chassis</t>
  </si>
  <si>
    <t>Factory configuration to convert RX-BI-MR to RX-BI-MR2 by replacing 512MB SIMM with 2GB SIMM and label.   Add this part number to any order for any of the BigTRON RX pre-configured chassis in order to upgrade the management module from MR to MR2.</t>
  </si>
  <si>
    <t>DC Power Supply for BigTRON RX-8 and RX-16 chassis</t>
  </si>
  <si>
    <t>DC Power Supply for BigTRON RX-4 chassis</t>
  </si>
  <si>
    <t>4-port 10GbE XFP BigTRON RX-Series</t>
  </si>
  <si>
    <t>2-port 10GbE XFP BigTRON RX-Series</t>
  </si>
  <si>
    <t>24-port 1-GE SFP BigTRON RX-Series</t>
  </si>
  <si>
    <t>24-port 10/100/1000Base-T, RJ45 BigTRON RX-Series</t>
  </si>
  <si>
    <t>24-port 100/1000 SFP module for BigTRON RX-Series</t>
  </si>
  <si>
    <t>Spare BigTRON RX-16 Chassis with fan assy, no PS, no switch fabric and no management modules</t>
  </si>
  <si>
    <t>Spare BigTRON RX-8 Chassis with  fan assy, no PS, no switch fabric and no management modules</t>
  </si>
  <si>
    <t>Spare BigTRON RX-4 Chassis with fan assy, no PS, no switch fabric and no management modules</t>
  </si>
  <si>
    <t>Big TRON RX-16 Intake Fan Assembly</t>
  </si>
  <si>
    <t>Big TRON RX-16 Exhaust Fan Assembly Kit, includes two (2) fans</t>
  </si>
  <si>
    <t>BigTRON RX-8 Fan Assembly</t>
  </si>
  <si>
    <t>BigTRON RX-4 Fan Assembly</t>
  </si>
  <si>
    <t>BigTRON RX management module blank panel</t>
  </si>
  <si>
    <t>BigTRON RX interface module blank panel</t>
  </si>
  <si>
    <t>BigTRON RX switch fabric module blank panel for BigTRON RX-16 and RX-8</t>
  </si>
  <si>
    <t>BigTRON RX switch fabric module blank panel for BigTRON RX-4</t>
  </si>
  <si>
    <t>BigTRON RX-16 and RX-8 power supply blank panel</t>
  </si>
  <si>
    <t>BirTRON RX-4 power supply blank panel</t>
  </si>
  <si>
    <t>4-slot BigTRON chassis with single AC power supply</t>
  </si>
  <si>
    <t>4-slot BigTRON chassis with single -48vDC power supply</t>
  </si>
  <si>
    <t>4-slot BigTRON SPARE chassis, NO power supply</t>
  </si>
  <si>
    <t xml:space="preserve">8-slot BigTRON chassis with one single AC power supply </t>
  </si>
  <si>
    <t>8-slot BigTRON chassis with single -48vDC power supply</t>
  </si>
  <si>
    <t>8-slot BigTRON SPARE chassis, NO power supply</t>
  </si>
  <si>
    <t xml:space="preserve">15-slot BigTRON chassis with two (2) AC power supply </t>
  </si>
  <si>
    <t>15-slot BigTRON chassis with two (2) -48vDC power supply</t>
  </si>
  <si>
    <t>15-slot BigTRON SPARE chassis. No power supplies.</t>
  </si>
  <si>
    <t>NetTRON XMR 16000 AC system with 1 management module, 3 switch fabric modules, 4 AC power supplies, intake and exhaust fan assembly kit</t>
  </si>
  <si>
    <t>NetTRON XMR 8000 AC system with 1 management module, 2 switch fabric modules, 2 AC power supplies, fan assembly</t>
  </si>
  <si>
    <t>NetTRON XMR 4000 AC system with 1 management module, 2 switch fabric modules, 1 AC power supplies, fan assembly</t>
  </si>
  <si>
    <t>NetTRON XMR 16000 DC system with 1 management module, 3 switch fabric modules, 4 DC power supplies, intake and exhaust fan assembly kit</t>
  </si>
  <si>
    <t>NetTRON XMR 8000 DC system with 1 management module, 2 switch fabric modules, 2 DC power supplies, fan assembly</t>
  </si>
  <si>
    <t>NetTRON XMR 4000 DC system with 1 management module, 2 switch fabric modules, 1 DC power supplies, fan assembly</t>
  </si>
  <si>
    <t>NetTRON XMR Series management module with 2 GB ECC memory, dual PCMCIA slots, EIA/TIA-232 (RS-232) serial console port and 10/100/1000 Ethernet port for out-of-band management</t>
  </si>
  <si>
    <t>NetTRON XMR Series 4-port 10-GbE module with IPv4/IPv6/MPLS hardware support - requires XFP optics</t>
  </si>
  <si>
    <t>NetTRON XMR Series 2-port 10-GbE module with IPv4/IPv6/MPLS hardware support - requires XFP optics</t>
  </si>
  <si>
    <t>NetTRON XMR Series 20-port FE/GE (100/1000) module with IPv4/IPv6/MPLS hardware support - requires SFP optics</t>
  </si>
  <si>
    <t>NetTRON XMR Series 20-port 10/100/1000 copper module with IPv4/IPv6/MPLS hardware support</t>
  </si>
  <si>
    <t>NetTRON XMR/MLX 2-port OC-192 (STM-64) Packet over SONET/SDH module interface module with IPv4/IPv6/MPLS hardware support. Requires XFP optics.</t>
  </si>
  <si>
    <t>NetTRON XMR/MLX 1-port OC-192 (STM-64) Packet over SONET/SDH module interface module with IPv4/IPv6/MPLS hardware support. Requires XFP optics.</t>
  </si>
  <si>
    <t>NetTRON XMR/MLX 8-port OC-12/48 (STM-4/16) Packet over SONET/SDH module interface module with IPv4/IPv6/MPLS hardware support. Requires SFP optics.</t>
  </si>
  <si>
    <t>NetTRON XMR/MLX 4-port OC-12/48 (STM-4/16) Packet over SONET/SDH module interface module with IPv4/IPv6/MPLS hardware support. Requires SFP optics.</t>
  </si>
  <si>
    <t>NetTRON XMR/MLX 2-port OC-12/48 (STM-4/16) Packet over SONET/SDH module interface module with IPv4/IPv6/MPLS hardware support. Requires SFP optics.</t>
  </si>
  <si>
    <t>NetTRON XMR 16000 chassis with intake and exhaust fan assembly kit</t>
  </si>
  <si>
    <t>NetTRON XMR 8000 chassis with fan assembly</t>
  </si>
  <si>
    <t>NetTRON XMR 4000 chassis with fan assembly</t>
  </si>
  <si>
    <t>NetTRON XMR/MLX switch fabric module for 16- and 8-slot chassis</t>
  </si>
  <si>
    <t>NetTRON XMR/MLX switch fabric module for 4-slot chassis</t>
  </si>
  <si>
    <t>NetTRON XMR/MLX AC power supply for 16- and 8-slot chassis, 1200W</t>
  </si>
  <si>
    <t>NetTRON XMR/MLX AC power supply for 4-slot chassis, 1200W</t>
  </si>
  <si>
    <t>NetTRON XMR/MLX DC power supply for 16- and 8-slot chassis, 1200W</t>
  </si>
  <si>
    <t>NetTRON XMR/MLX DC power supply for 4-slot chassis, 1200W</t>
  </si>
  <si>
    <t>NetTRON XMR/MLX intake fan assembly for 16-slot chassis</t>
  </si>
  <si>
    <t>NetTRON XMR/MLX exhaust fan assembly kit for 16-slot chassis, includes 2 fans</t>
  </si>
  <si>
    <t>NetTRON XMR/MLX fan assembly for 8-slot chassis</t>
  </si>
  <si>
    <t>NetTRON XMR/MLX fan assembly for 4-slot chassis</t>
  </si>
  <si>
    <t>NetTRON XMR/MLX Series management module blank panel</t>
  </si>
  <si>
    <t>NetTRON XMR/MLX management module panel</t>
  </si>
  <si>
    <t>NetTRON XMR/MLX Series interface module blank panel</t>
  </si>
  <si>
    <t>NetTRON XMR/MLX interface module panel</t>
  </si>
  <si>
    <t>NetTRON XMR/MLX switch fabric module blank panel for 16- and 8-slot chassis</t>
  </si>
  <si>
    <t>NetTRON XMR/MLX switch fabric module panel for 16- and 8-slot chassis</t>
  </si>
  <si>
    <t>NetTRON XMR/MLX switch fabric module blank panel for 4-slot chassis</t>
  </si>
  <si>
    <t>NetTRON XMR/MLX switch fabric module panel for 4-slot chassis</t>
  </si>
  <si>
    <t>NetTRON XMR/MLX power supply blank panel for 16- and 8-slot chassis</t>
  </si>
  <si>
    <t>NetTRON XMR/MLX power supply panel for 16- and 8-slot chassis</t>
  </si>
  <si>
    <t>NetTRON XMR/MLX power supply blank panel for 4-slot chassis</t>
  </si>
  <si>
    <t>NetTRON XMR/MLX power supply panel for 4-slot chassis</t>
  </si>
  <si>
    <t>NetTRON XMR/MLX air filter for 16-slot chassis</t>
  </si>
  <si>
    <t>NetTRON XMR/MLX air filter for 8-slot chassis</t>
  </si>
  <si>
    <t>NetTRON XMR/MLX air filter for 4-slot chassis</t>
  </si>
  <si>
    <t>NetTRON MLX-16 AC system with 1 management module, 3 switch fabric modules, 4 AC power supplies, intake and exhaust fan assembly kit</t>
  </si>
  <si>
    <t>NetTRON MLX-8 AC system with 1 management module, 2 switch fabric modules, 2 AC power supplies, fan assembly</t>
  </si>
  <si>
    <t>NetTRON MLX-4 AC system with 1 management module, 2 switch fabric modules, 1 AC power supplies, fan assembly</t>
  </si>
  <si>
    <t>NetTRON MLX-16 DC system with 1 management module, 3 switch fabric modules, 4 DC power supplies, intake and exhaust fan assembly kit</t>
  </si>
  <si>
    <t>NetTRON MLX-8 DC system with 1 management module, 2 switch fabric modules, 2 DC power supplies, fan assembly</t>
  </si>
  <si>
    <t>NetTRON MLX-4 DC system with 1 management module, 2 switch fabric modules, 1 DC power supplies, fan assembly</t>
  </si>
  <si>
    <t>NetTRON MLX Series management module with 1 GB ECC memory, dual PCMCIA slots, EIA/TIA-232 (RS-232) serial console port and 10/100/1000 Ethernet port for out-of-band management</t>
  </si>
  <si>
    <t>NetTRON MLX Series 4-port 10-GbE module with IPv4/IPv6/MPLS hardware support - requires XFP optics</t>
  </si>
  <si>
    <t>NetTRON MLX Series 2-port 10-GbE module with IPv4/IPv6/MPLS hardware support - requires XFP optics</t>
  </si>
  <si>
    <t>NetTRON MLX Series 20-port FE/GE (100/1000) module with IPv4/IPv6/MPLS hardware support - requires SFP optics</t>
  </si>
  <si>
    <t>NetTRON MLX Series 20-port 10/100/1000 copper module with IPv4/IPv6/MPLS hardware support</t>
  </si>
  <si>
    <t>NetTRON MLX-16 chassis with intake and exhaust fan assembly kit</t>
  </si>
  <si>
    <t>NetTRON MLX-8 chassis with fan assembly</t>
  </si>
  <si>
    <t>NetTRON MLX-4 chassis with fan assembly</t>
  </si>
  <si>
    <t>NetTRON M2404 Metro Access Switch with 24-port 10/100 + 2 combo GE access port + 2-port enhanced GE SFP port + 1 AC  PS</t>
  </si>
  <si>
    <t>NetTRON M2404C Metro Access Switch with 1 AC power supply</t>
  </si>
  <si>
    <t>NetTRON M2404 Metro Access Switch with 24-port 10/100 + 2 combo GE access port + 2-port enhanced GE SFP port + 1 DC  PS</t>
  </si>
  <si>
    <t>NetTRON M2404C Metro Access Switch with 1 DC power supply</t>
  </si>
  <si>
    <t>NetTRON M2404 Metro Access Switch with 24-port 100base SFP + 2 combo GE access port + 2-port enhanced GE SFP port + 1 AC  PS</t>
  </si>
  <si>
    <t>NetTRON M2404F Metro Access Switch with 1 AC power supply</t>
  </si>
  <si>
    <t>NetTRON M2404 Metro Access Switch with 24-port 100base SFP + 2 combo GE access port + 2-port enhanced GE SFP port + 1 DC  PS</t>
  </si>
  <si>
    <t>NetTRON M2404F Metro Access Switch with 1 DC power supply</t>
  </si>
  <si>
    <t>NetTRON M2404 Metro Access Switch AC Power Supply (Spare)</t>
  </si>
  <si>
    <t>NetTRON M2404 Spare AC Power Supply</t>
  </si>
  <si>
    <t>NetTRON M2404 Metro Access Switch DC Power Supply (Spare)</t>
  </si>
  <si>
    <t>NetTRON M2404 Spare DC Power Supply</t>
  </si>
  <si>
    <t>4-slot SecureTRONLS chassis equipped with one SSM6 (3BP) management module, one AC power supply, two 16-port 100/1000 Mbps RJ45 Modules, and one 2-port 10 Gigabit XENPAK line module</t>
  </si>
  <si>
    <t>SecureTRONLS Security LAN Switch Management module (LS-SSM6) with 3 security processors. Use this module for dual-active LS-SSM6 in a SecureTRONLS, or for spares.</t>
  </si>
  <si>
    <t>SecureTRONLS Security LAN Switch Management module (LS-SSM6-1) with 1 security processors. Use this module for dual-active LS-SSM6-1 in a SecureTRONLS, or for spares.</t>
  </si>
  <si>
    <t>4-slot SecureTRON chassis equipped with one SSM6-1 (1BP) management module and one AC power supply</t>
  </si>
  <si>
    <t>4-slot SecureTRON chassis equipped with one SSM6-1 (1BP) management module and one -48V DC power supply</t>
  </si>
  <si>
    <t>4-slot SecureTRON chassis equipped with one SSM6 (3BP) management module and one AC power supply</t>
  </si>
  <si>
    <t>4-slot SecureTRON chassis equipped with one SSM6 (3BP) management module and one -48V DC power supply</t>
  </si>
  <si>
    <t>4-slot SecureTRON chassis equipped with one AC power supply</t>
  </si>
  <si>
    <t>Empty 4-slot SecureTRON chassis (NO Power Supply)</t>
  </si>
  <si>
    <t>SecureTRON Security Switch Management module (SSM6) with 3 security processors. Use this module for dual-active SSM6 in a SecureTRON, or for spares and performance upgrades.</t>
  </si>
  <si>
    <t>SecureTRON Security Switch Management module (SSM6-1) with 1 security processor. Use this module for dual-active SSM6-1 in a SecureTRON, or for spares.</t>
  </si>
  <si>
    <t xml:space="preserve">1.5 RU fixed configuration ServerTRON with 4-port combo (fiber &amp; copper) and one AC power supply (RPS5)   </t>
  </si>
  <si>
    <t xml:space="preserve">1.5 RU fixed configuration ServerTRON with 4-port combo (fiber &amp; copper) and 1 AC power supply (RPS5)   </t>
  </si>
  <si>
    <t>1.5 RU fixed configuration ServerTRON with 4-port combo (fiber &amp; copper) and one AC power supply (RPS5) featuring Layer 3 and/or GSLB TrafficWorks Premium Upgrade</t>
  </si>
  <si>
    <t>1.5 RU fixed configuration ServerTRON with 4-port combo (fiber &amp; copper) and one -48V DC power supply (RPS5DC)</t>
  </si>
  <si>
    <t xml:space="preserve">1.5 RU fixed configuration ServerTRON with 4-port combo (fiber &amp; copper) and 1 DC power supply (RPS5)   </t>
  </si>
  <si>
    <t>1.5 RU fixed configuration ServerTRON with 4-port combo (fiber &amp; copper) and one -48V DC power supply (RPS5DC) featuring Layer 3 and/or GSLB TrafficWorks Premium Upgrade</t>
  </si>
  <si>
    <t>1.5 RU fixed configuration SSL-integrated ServerTRON with 4-port combo (fiber &amp; copper) and one AC power supply (RPS5)</t>
  </si>
  <si>
    <t>1.5 RU fixed configuration SSL-integrated ServerTRON with 4-port combo (fiber &amp; copper) and 1 AC power supply (RPS5)</t>
  </si>
  <si>
    <t>1.5 RU fixed configuration SSL-integrated ServerTRON with 4-port combo (fiber &amp; copper) and one AC power supply (RPS5) featuring Layer 3 and/or GSLB TrafficWorks Premium Upgrade</t>
  </si>
  <si>
    <t>1.5 RU fixed configuration SSL-integrated ServerTRON with 4-port combo (fiber &amp; copper) and one -48V DC power supply (RPS5DC)</t>
  </si>
  <si>
    <t>1.5 RU fixed configuration SSL-integrated ServerTRON with 4-port combo (fiber &amp; copper) and 1 DC power supply (RPS5)</t>
  </si>
  <si>
    <t>1.5 RU fixed configuration SSL-integrated ServerTRON with 4-port combo (fiber &amp; copper) and one -48V DC power supply (RPS5DC) featuring Layer 3 and/or GSLB TrafficWorks Premium Upgrade</t>
  </si>
  <si>
    <t>Premium Layer 3 Routing and Global Server Load Balancing (GSLB) TrafficWorks upgrade for ServerTRON 4G Series Systems</t>
  </si>
  <si>
    <t>220W, AC power supply for ServerTRON 4G</t>
  </si>
  <si>
    <t>220W, -48vDC power supply for ServerTRON 4G</t>
  </si>
  <si>
    <t xml:space="preserve">ServerTRONXL 16-p 10/100 </t>
  </si>
  <si>
    <t xml:space="preserve">ServerTRONXL 24-p 10/100 </t>
  </si>
  <si>
    <t>ServerTRONXL 16-p 10/100 DC</t>
  </si>
  <si>
    <t>ServerTRONXL 24-p 10/100 DC</t>
  </si>
  <si>
    <t>Redundant auto-switching 90-240v AC power supply for FWS24, NSR16/24, and ServerTRONXL 8/16/24 only</t>
  </si>
  <si>
    <t>(International Orders Only) Redundant auto-switching 90-240v AC power supply for FWS24, NSR16/24, and ServerTRONXL 8/16/24 only</t>
  </si>
  <si>
    <t>-48vDC power supply for FWS24, NSR16/24, and ServerTRONXL 8/16/24 only and is a FACTORY CONFIGURATION ONLY</t>
  </si>
  <si>
    <t>3-slot 2U High ServerTRON chassis equipped with one WSM7, one AC power supply, and one 2-port 10 Gigabit B10Gx2 line module</t>
  </si>
  <si>
    <t xml:space="preserve">ServerTRON GT-C10Gx2  </t>
  </si>
  <si>
    <t>3-slot 2U High ServerTRON chassis equipped with one WSM7, one -48V RPS8 DC PS, and one 2-port 10 Gigabit B10Gx2 line module</t>
  </si>
  <si>
    <t>4-slot ServerTRON chassis equipped with one WSM7, one AC power supply, and one 2-port 10 Gigabit B10Gx2 line module</t>
  </si>
  <si>
    <t xml:space="preserve">ServerTRON GT-E10Gx2  </t>
  </si>
  <si>
    <t>4-slot ServerTRON chassis equipped with one WSM7, one -48V RPS3DC PS, and one 2-port
10 Gigabit B10Gx2 line module</t>
  </si>
  <si>
    <t>2-Port 10 Gigabit ServerTRONGT E-Series with 3BP WSM6</t>
  </si>
  <si>
    <t>2-Port 10 Gigabit ServerTRONGT E-Series with 3BP WSM6 (DC Power)</t>
  </si>
  <si>
    <t>3-slot 2U High ServerTRON chassis equipped with one ultra high performance WSM7 and one AC power supply</t>
  </si>
  <si>
    <t>3-slot 2U High ServerTRON chassis equipped with one ultra high performance WSM7 and one -48V DC power supply</t>
  </si>
  <si>
    <t>4-slot ServerTRON chassis equipped with one ultra high performance WSM7 and one AC power supply</t>
  </si>
  <si>
    <t>4-slot ServerTRON chassis equipped with one ultra high performance WSM7 and one -48V DC power supply</t>
  </si>
  <si>
    <t>8-slot ServerTRON chassis equipped with one ultra high performance WSM7 and one AC power supply</t>
  </si>
  <si>
    <t>8-slot ServerTRON chassis equipped with one ultra high performance WSM7 and one -48V DC power supply</t>
  </si>
  <si>
    <t>3-slot 2U High ServerTRON chassis equipped with one WSM6 and one AC power supply</t>
  </si>
  <si>
    <t>3-slot 2U High ServerTRON chassis equipped with one WSM6 and one -48V DC power supply</t>
  </si>
  <si>
    <t>4-slot ServerTRON chassis with a WSM6 (Web Switching Management Module)</t>
  </si>
  <si>
    <t>4-slot -48V DC ServerTRON chassis with a WSM6 (Web Switching Management Module)</t>
  </si>
  <si>
    <t>8-slot ServerTRON chassis with a WSM6 (Web Switching Management Module)</t>
  </si>
  <si>
    <t>8-slot -48V DC ServerTRON chassis with a WSM6 (Web Switching Management Module)</t>
  </si>
  <si>
    <t>2-port Gigabit (SFP) ServerTRONGT C-Series 3-slot 2U Chassis with 1BP WSM6-1 management</t>
  </si>
  <si>
    <t>16-Port 100/1000 Mbps Copper ServerTRONGT C-Series 3-slot 2U chassis with 1BP WSM6-1 management</t>
  </si>
  <si>
    <t>24-Port 10/100 and 4-port Gigabit (CF) ServerTRONGT C-Series 3-slot 2U Chassis with 1BP WSM6-1 management</t>
  </si>
  <si>
    <t>2-port Gigabit (mini GBIC) ServerTRONGT C-Series 3-slot 2U Chassis with 1BP WSM6-SSL-1 integrated SSL management</t>
  </si>
  <si>
    <t>16-Port 100/1000 Mbps Copper ServerTRONGT C-Series 3-slot 2U chassis with 1BP WSM6-SSL-1 integrated SSL management</t>
  </si>
  <si>
    <t>24-Port 10/100 and 4-port Gigabit (CF) ServerTRONGT C-Series 3-slot 2U Chassis with 1BP WSM6-SSL-1 integrated SSL management</t>
  </si>
  <si>
    <t>3-slot 2U High ServerTRON chassis equipped with one WSM6-SSL-1 (Web Switching Management Module with ONE BP and integrated SSL acceleration), and one AC power supply</t>
  </si>
  <si>
    <t>3-slot 2U High ServerTRON chassis equipped with one WSM6-SSL-2 (Web Switching Management Module with TWO BP and integrated SSL acceleration), and one AC power supply</t>
  </si>
  <si>
    <t>2-Port Gigabit ServerTRONGT E-Series with 1BP WSM6-1</t>
  </si>
  <si>
    <t>2-Port Gigabit ServerTRONGT E-Series with 1BP WSM6-1 (DC Power)</t>
  </si>
  <si>
    <t>16-Port 100/1000 Mbps Copper ServerTRONGT E-Series with 1BP WSM6-1</t>
  </si>
  <si>
    <t>16-Port 100/1000 Mbps Copper ServerTRONGT E-Series with 1BP WSM6-1 (-48 V DC Power Supply)</t>
  </si>
  <si>
    <t>24-Port 10/100 and 4-port Gigabit (CF) ServerTRONGT E-Series with 1BP WSM6-1</t>
  </si>
  <si>
    <t>24-Port 10/100 and 4-port Gigabit (CF) ServerTRONGT E-Series with 1BP WSM6-1 with -48V DC Power</t>
  </si>
  <si>
    <t>4-Port Gigabit ServerTRONGT E-Series with 2BP WSM6-2</t>
  </si>
  <si>
    <t>4-Port Gigabit ServerTRONGT E-Series with 2BP WSM6-2 (DC Power)</t>
  </si>
  <si>
    <t>24-Port 10/100 and 4-port Gigabit (CF) ServerTRONGT E-Series PLUS with 2BP WSM6-2</t>
  </si>
  <si>
    <t>24-Port 10/100 and 4-port Gigabit (CF) ServerTRONGT E-Series PLUS with 2BP WSM6-2 (-48 V DC Power Supply)</t>
  </si>
  <si>
    <t>16-Port 100/1000 Mbps Copper ServerTRONGT E-Series PLUS with 2BP WSM6-2</t>
  </si>
  <si>
    <t>16-Port 100/1000 Mbps Copper ServerTRONGT E-Series PLUS with 2BP WSM6-2 (-48 V DC Power Supply)</t>
  </si>
  <si>
    <t>600W, AC power supply for 3-slot 2U high compact ServerTRON chassis only (GT-C and 350)</t>
  </si>
  <si>
    <t>3-slot 2U High ServerTRON chassis equipped with one AC power supply (no management)</t>
  </si>
  <si>
    <t>3-slot 2U High ServerTRON chassis equipped with one -48V DC power supply (no management)</t>
  </si>
  <si>
    <t>3-slot 2U High ServerTRON chassis (no power supply and no management)</t>
  </si>
  <si>
    <t>4-slot ServerTRON chassis with single AC power supply</t>
  </si>
  <si>
    <t>4-slot ServerTRON chassis with single -48V DC power supply</t>
  </si>
  <si>
    <t>4-slot ServerTRON SPARE chassis, NO Power supply</t>
  </si>
  <si>
    <t>8-slot ServerTRON chassis with single AC power supply</t>
  </si>
  <si>
    <t>8-slot ServerTRON chassis with single -48V DC power supply</t>
  </si>
  <si>
    <t>8-slot ServerTRON SPARE chassis, NO Power supply</t>
  </si>
  <si>
    <t>Premium Layer 3 Routing and Global Server Load Balancing (GSLB) TrafficWorks upgrade for ServerTRON 350/450/850 Systems</t>
  </si>
  <si>
    <t>Premium Layer 3 Routing and Global Server Load Balancing (GSLB) TrafficWorks upgrade for ServerTRONGT C and E Series Systems</t>
  </si>
  <si>
    <t>TRONView Network Management for Windows NT, Windows 2000, and Windows/XP.</t>
  </si>
  <si>
    <t>TRONView Network Management for Solaris.</t>
  </si>
  <si>
    <t>TRONView Network Management for LINUX</t>
  </si>
  <si>
    <t>TRONView Network Manager, TRONPoint Edition</t>
  </si>
  <si>
    <t>TRONPOINT MANAGEMENT SOFTWARE</t>
  </si>
  <si>
    <t>Mid-mount Rack Mount Kit for BigTRON RX-4 and NetTRON MLX-4 or XMR-4000 chassis</t>
  </si>
  <si>
    <t>Mid-mount Rack Mount Kit for BigTRON RX-8 and NetTRON MLX-8 or XMR-8000 chassis</t>
  </si>
  <si>
    <t>Mid-mount Rack Mount Kit for BigTRON RX-16 and NetTRON MLX-16 or XMR-16000 Chassis</t>
  </si>
  <si>
    <t>Wooden shipping crate for BigTRON RX 16 chassis</t>
  </si>
  <si>
    <t>Wooden shipping crate for NetTRON MLX 16 chassis</t>
  </si>
  <si>
    <t xml:space="preserve">Router Software Updates (for NetTRON, TurboTRON/8 and TurboTRON) </t>
  </si>
  <si>
    <t>SW Update, Turbo/8, FI2, BigTRON</t>
  </si>
  <si>
    <t>Router Software Updates for Chassis-based Layer 3 systems (for BigTRON)</t>
  </si>
  <si>
    <t>ServerTRON and ServerTRONXL Software Updates</t>
  </si>
  <si>
    <t>ServerTRONXL/G Software Updates</t>
  </si>
  <si>
    <t>Yearly Software Support fee for TRONView Network Manager, allowing for minor and major "dot" or sub-release software upgrades and maintenance upgrades.</t>
  </si>
  <si>
    <t>Power supply panel for the FES Switch family, FES X Series, FastTRON Workgroup X Series, and the FastTRON GS</t>
  </si>
  <si>
    <t>The FastTRON LS 624 supports twenty-four 10/100/1000 Mbps RJ-45 Ethernet ports.  Four ports are implemented as combination RJ45-SFP ports in which the port may be used as either a copper 10/100/1000 Mbps Ethernet or as a fiber 100/1000 Mbps when using an SFP transceiver in the corresponding SFP port.   The FastTRON LS 624 includes three 10-Gigabit Ethernet slots each configurable with a single-port XFP-based 10-Gigabit Ethernet module (part # FLS-1XG).</t>
  </si>
  <si>
    <t>The FastTRON LS 648 supports forty-eight 10/100/1000 Mbps RJ-45 Ethernet ports.  Four ports are implemented as combination RJ45-SFP ports in which the port may be used as either a copper 10/100/1000 Mbps Ethernet or as a fiber 100/1000 Mbps when using an SFP transceiver in the corresponding SFP port.   The FastTRON LS 648 includes two 10-Gigabit Ethernet slots each configurable with a single-port XFP-based 10-Gigabit Ethernet module (part # FLS-1XG).</t>
  </si>
  <si>
    <t xml:space="preserve">FastTRON LS field installable 1-port XFP 10 Gigabit Ethernet module. Applicable only for the FastTRON LS 624 and the FastTRON LS 648. </t>
  </si>
  <si>
    <t>FastTRON GS includes 24-port 10/100/1000 with 4-port Combo copper/fiber Gigabit Ethernet ports for use with 10/100/1000 Mbps (RJ45) or 100/1000 Ethernet Fiber (SFP) connectivity and one modular AC power supply. Unit can be upgraded to support 802.3af PoE with the addition of a PoE DIMM (Part # FGS-24GCPOE). Unit includes an open slot for an optional 2-port 10 Gigabit Ethernet module.</t>
  </si>
  <si>
    <t>FastTRON GS includes 24-port 10/100/1000 with 4-port Combo copper/fiber Gigabit Ethernet ports for use with 10/100/1000 Mbps (RJ45) or 100/1000 Ethernet Fiber (SFP) connectivity and one modular DC power supply. Unit can be upgraded to support 802.3af PoE with the addition of a PoE DIMM (Part # FGS-24GCPOE). Unit includes an open slot for an optional 2-port 10 Gigabit Ethernet module.</t>
  </si>
  <si>
    <t>FastTRON GS includes 24-port 10/100/1000 with 4-port Combo copper/fiber Gigabit Ethernet ports for use with 10/100/1000 Mbps (RJ45) or 100/1000 Ethernet Fiber (SFP) connectivity and one modular AC power supply. Unit supports 802.3af PoE. Unit includes an open slot for an optional 2-port 10 Gigabit Ethernet module.</t>
  </si>
  <si>
    <t>FastTRON GS includes 24-port 10/100/1000 with 4-port Combo copper/fiber Gigabit Ethernet ports for use with 10/100/1000 Mbps (RJ45) or 100/1000 Ethernet Fiber (SFP) connectivity and one modular DC power supply. Unit supports 802.3af PoE. Unit includes an open slot for an optional 2-port 10 Gigabit Ethernet module.</t>
  </si>
  <si>
    <t xml:space="preserve">FastTRON GS includes 24-port 10/100/1000 802.3af upgradeable with 4-port Combo copper/fiber Gigabit Ethernet ports for use with 10/100/1000 Mbps (RJ45) or 100/1000 Ethernet Fiber (SFP) connectivity, 1-port XFP 10 Gigabit Ethernet, and one modular AC power supply. Unit includes an open slot for an optional 2-port 10 Gigabit Ethernet module. </t>
  </si>
  <si>
    <t xml:space="preserve">FastTRON GS includes 24-port 10/100/1000 802.3af with 4-port Combo copper/fiber Gigabit Ethernet ports for use with 10/100/1000 Mbps (RJ45) or 100/1000 Ethernet Fiber (SFP) connectivity, 1-port XFP 10 Gigabit Ethernet, and one modular AC power supply. Unit includes an open slot for an optional 2-port 10 Gigabit Ethernet module. </t>
  </si>
  <si>
    <t>FastTRON GS includes 48-port 10/100/1000 with 4-port Combo copper/fiber Gigabit Ethernet ports for use with 10/100/1000 Mbps (RJ45) or 100/1000 Ethernet Fiber (SFP) connectivity and one modular AC power supply. Unit can be upgraded to support 802.3af PoE with the addition of two PoE DIMMs (Part # FGS-24GCPOE). Unit includes an open slot for an optional 2-port 10 Gigabit Ethernet module.</t>
  </si>
  <si>
    <t>FastTRON GS includes 48-port 10/100/1000 with 4-port Combo copper/fiber Gigabit Ethernet ports for use with 10/100/1000 Mbps (RJ45) or 100/1000 Ethernet Fiber (SFP) connectivity and one modular DC power supply. Unit can be upgraded to support 802.3af PoE with the addition of two PoE DIMM (Part # FGS-24GCPOE). Unit includes an open slot for an optional 2-port 10 Gigabit Ethernet module.</t>
  </si>
  <si>
    <t>FastTRON GS includes 48-port 10/100/1000 with 4-port Combo copper/fiber Gigabit Ethernet ports for use with 10/100/1000 Mbps (RJ45) or 100/1000 Ethernet Fiber (SFP) connectivity one modular AC power supply. Unit supports 802.3af PoE. Unit includes an open slot for an optional 2-port 10 Gigabit Ethernet module.</t>
  </si>
  <si>
    <t>FastTRON GS includes 48-port 10/100/1000 with 4-port Combo copper/fiber Gigabit Ethernet ports for use with 10/100/1000 Mbps (RJ45) or 100/1000 Ethernet Fiber (SFP) connectivity one modular DC power supply. Unit supports 802.3af PoE. Unit includes an open slot for an optional 2-port 10 Gigabit Ethernet module.</t>
  </si>
  <si>
    <t xml:space="preserve">FastTRON GS installable 2-port XFP 10 Gigabit Ethernet module. Applicable only for the FGS624P, FGS648P, FGS624P-POE, FGS648P-POE and respective DC versions. </t>
  </si>
  <si>
    <t>FastTRON GS installable 2-port CX4 10 Gigabit Ethernet module. Applicable only for the FastTRON GS 624P-POE, 624XGP, 624XGP-POE, 648P, and 648P-POE. CX4 cable (0.5m) is included.</t>
  </si>
  <si>
    <t>FastTRON GS installable 2-port CX4 10 Gigabit Ethernet module.  CX4 cable (0.5m) is included.</t>
  </si>
  <si>
    <t xml:space="preserve">FastTRON GS installable 1-port CX4 10 Gigabit Ethernet and 1-port XFP 10 Gigabit Ethernet module. Applicable only for the FastTRON GS 624P-POE, 624XGP, 624XGP-POE, 648P, and 648P-POE. </t>
  </si>
  <si>
    <t xml:space="preserve">FastTRON GS installable 1-port CX4 10 Gigabit Ethernet and 1-port XFP 10 Gigabit Ethernet module. </t>
  </si>
  <si>
    <t>Slot 2 Label for the FastTRON GS and POE version.</t>
  </si>
  <si>
    <t>FastTRON Workgroup X424 with L2 SW. Includes 24 10/100/1000 ports (RJ-45) with 4-port SFP for fiber optics (SX, LX, LHA, and CWDM), and one AC power supply.</t>
  </si>
  <si>
    <t>FastTRON Workgroup X424 with L2 SW. Includes 24 10/100/1000 ports (RJ-45) and 4-port SFP for fiber optics (SX, LX, LHA, and CWDM), and one DC power supply.</t>
  </si>
  <si>
    <t>FastTRON Workgroup X424 with L2 SW. Includes 24 10/100/1000 ports (RJ-45) with 4-port SFP for fiber optics (SX, LX, LHA, and CWDM), 1-slot XFP 10GbE module and one AC power supply.</t>
  </si>
  <si>
    <t>FastTRON Workgroup X424 with L2 SW. Includes 24 10/100/1000 ports (RJ-45), 4-port SFP for fiber optics (SX, LX, LHA, and CWDM), 1-slot XFP 10GbE module and one DC power supply.</t>
  </si>
  <si>
    <t>FastTRON Workgroup X424 with L2 SW. Includes 24 10/100/1000 ports (RJ-45) with 4-port SFP for fiber optics (SX, LX, LHA, and CWDM), 2-slot XFP 10GbE module and one AC power supply.</t>
  </si>
  <si>
    <t>FastTRON Workgroup X424 with L2 SW. Includes 24 10/100/1000 ports (RJ-45), 4-port SFP for fiber optics (SX, LX, LHA, and CWDM), 2-slot XFP 10GbE module and one DC power supply.</t>
  </si>
  <si>
    <t>FastTRON Workgroup X448 with L2 SW. Includes 48 10/100/1000 ports (RJ-45) with 4-port SFP for fiber optics (SX, LX, LHA, and CWDM), and one AC power supply.</t>
  </si>
  <si>
    <t>FastTRON Workgroup X448 includes 48-port 10/100/1000 (RJ-45) with 4-port Combo copper/fiber Gigabit Ethernet ports 10/100/1000 Mbps (RJ45) or Gigabit Ethernet Fiber (SFP) connectivity per port, 400 MHz processor, 128 MB SDRAM, and one DC power supply. Software includes advanced Layer 2 services (static routes and RIP advertisement). SFP optics or mini-GBICs must be purchased separately and are shipped separately.</t>
  </si>
  <si>
    <t>FastTRON Workgroup X448 with L2 SW. Includes 48 10/100/1000 ports (RJ-45) with 4-port SFP for fiber optics (SX, LX, LHA, and CWDM), 1-slot XFP 10GbE module, and one AC power supply.</t>
  </si>
  <si>
    <t>FastTRON Workgroup X448 includes 48-port 10/100/1000 (RJ-45) with 4-port Combo copper/fiber Gigabit Ethernet ports 10/100/1000 Mbps (RJ45) or Gigabit Ethernet Fiber (SFP) connectivity per port, 400 MHz processor, 1-port XFP 10 Gigabit Ethernet, 128 MB SDRAM, and one DC power supply. Software includes advanced Layer 2 services (static routes and RIP advertisement). XFP optics, and SFP optics or mini-GBICs must be purchased separately and are shipped separately.</t>
  </si>
  <si>
    <t>FastTRON Workgroup X448 with L2 SW. Includes 48 10/100/1000 ports (RJ-45) with 4-port SFP for fiber optics (SX, LX, LHA, and CWDM), 2-slot XFP 10GbE module, and one AC power supply.</t>
  </si>
  <si>
    <t>FastTRON Workgroup X448 includes 48-port 10/100/1000 (RJ-45) with 4-port Combo copper/fiber Gigabit Ethernet ports 10/100/1000 Mbps (RJ45) or Gigabit Ethernet Fiber (SFP) connectivity per port, 2-port XFP 10 Gigabit Ethernet, 400 MHz processor, 128 MB SDRAM, and one DC power supply. Software includes advanced Layer 2 services (static routes and RIP advertisement). XFP optics, and SFP optics or mini-GBICs must be purchased separately and are shipped separately.</t>
  </si>
  <si>
    <t>FastTRON SuperX Chassis with Fan tray and one (1) AC Power Supply</t>
  </si>
  <si>
    <t>FastTRON SX includes Fan and 1 AC PS</t>
  </si>
  <si>
    <t>FastTRON SuperX Chassis with fan tray and one (1) DC power supply.</t>
  </si>
  <si>
    <t>FastTRON SuperX chassis bundle with 84 ports of 10/100/1000 Mbps Ethernet: one 8-slot FI SuperX chassis, one AC power supply, one fan tray module, one M1 management module with 12 combo copper/fiber Gigabit Ethernet ports, three 24-port 10/100/1000 Mbps RJ45 (SX-FI424C) Ethernet modules, included software features advanced Layer 2 and Base Layer 3 services (static routes and RIP advertisement)</t>
  </si>
  <si>
    <t>FastTRON SuperX chassis bundle with 84 ports of 10/100/1000 Mbps Ethernet: one 8-slot FI SuperX chassis, one DC power supply, one fan tray module, one M1 management module with 12 combo copper/fiber Gigabit Ethernet ports, three 24-port 10/100/1000 Mbps RJ45 (SX-FI424C) Ethernet modules, included software features advanced Layer 2 and Base Layer 3 services (static routes and RIP advertisement)</t>
  </si>
  <si>
    <t>FastTRON SuperX chassis bundle with 84 ports of 10/100/1000 Mbps Ethernet: one 8-slot FI SuperX chassis, one AC power supply, one fan tray module, one M1 management module with 12 combo copper/fiber Gigabit Ethernet ports, three 24-port 10/100/1000 Mbps RJ45 (SX-FI424C) Ethernet modules, included software features advanced Layer 2 and Full Layer 3 services (BGP-4, OSPF, RIP, VRRP, VRRPE, DVMRP, PIM-SM and PIM-DM)</t>
  </si>
  <si>
    <t>FastTRON SuperX chassis bundle with 84 ports of 10/100/1000 Mbps Ethernet: one 8-slot FI SuperX chassis, one DC power supply, one fan tray module, one M1 management module with 12 combo copper/fiber Gigabit Ethernet ports, three 24-port 10/100/1000 Mbps RJ45 (SX-FI424C) Ethernet modules, included software features advanced Layer 2 and Full Layer 3 services (BGP-4, OSPF, RIP, VRRP, VRRPE, DVMRP, PIM-SM and PIM-DM)</t>
  </si>
  <si>
    <t>FastTRON SX 800 chassis bundle includes one SX 800 8-slot chassis (FI-SX800-S), two Switch Fabric module (SX-FISF), one system power supply (SX-ACPWR-SYS), nine interface panels (SX-FI-IFPNL), three power supply panels (SX-PWR-PNL), and one fan tray (SX-SX800-FAN).</t>
  </si>
  <si>
    <t>FastTRON SX 1600 chassis bundle includes one SX 1600 16-slot chassis (FI-SX1600-S), two Switch Fabric Module (SX-FISF), two system power supply (SX-ACPWR-SYS), seventeen interface cover panels (SX-FI-IFPNL), six power supply cover panels (SX-PWR-PNL), one SX 1600 filter (SX-SX1600-FILTER), and two fan trays that includes fans (SX-SX1600-FAN).</t>
  </si>
  <si>
    <t>FastTRON SX 800 chassis bundle includes one SX 800 8-slot chassis (FI-SX800-S), two Switch Fabric module (SX-FISF), one system power supply (SX-DCPWR-SYS), nine interface panels (SX-FI-IFPNL), three power supply panels (SX-PWR-PNL), and one fan tray (SX-SX800-FAN).</t>
  </si>
  <si>
    <t>FastTRON SX 800 chassis bundle, which includes 1 AC power supply and 1 switch fabric.</t>
  </si>
  <si>
    <t>FastTRON SX 800 chassis bundle, which includes 1 DC power supply and 1 switch fabric.</t>
  </si>
  <si>
    <t>FastTRON SX 1600 chassis bundle includes one SX 1600 16-slot chassis (FI-SX1600-S), two Switch Fabric Module (SX-FISF), two system power supply (SX-DCPWR-SYS), seventeen interface cover panels (SX-FI-IFPNL), six power supply cover panels (SX-PWR-PNL), one SX 1600 filter (SX-SX1600-FILTER), and two fan trays that includes fans (SX-SX1600-FAN).</t>
  </si>
  <si>
    <t>FastTRON SX 1600 chassis bundle, which includes 2 AC system power supply and 1 switch fabric.</t>
  </si>
  <si>
    <t>FastTRON SX 1600 chassis bundle, which includes 2 DC system power supply and 1 switch fabric.</t>
  </si>
  <si>
    <t>Full Layer 3 Upgrade Kit for the FastTRON SuperX family. Software includes advanced Layer 2 and full Layer 3 services (BGP-4, OSPF, RIP, VRRP, VRRPE, DVMRP, PIM-SM and PIM-DM).</t>
  </si>
  <si>
    <t>FastTRON SuperX Management-1 module with 12 combo copper / fiber Gigabit Ethernet ports (10/100/1000 Mbps (RJ45) or Gigabit Ethernet Fiber (SFP) connectivity per port), 400 MHz processor and 256 MB SDRAM.  Software includes advanced Layer 2 and Base Layer 3 services (static routes and RIP advertisement).</t>
  </si>
  <si>
    <t>FastTRON SuperX Management-2 module with 12 combo copper / fiber Gigabit Ethernet ports (10/100/1000 Mbps (RJ45) or Gigabit Ethernet Fiber (SFP) connectivity per port), 466 MHz processor and 512 MB SDRAM.  Software includes advanced Layer 2 and Base Layer 3 services (static routes and RIP advertisement).</t>
  </si>
  <si>
    <t>FastTRON SuperX Management-1 module with 12 combo copper / fiber Gigabit Ethernet ports (10/100/1000 Mbps (RJ45) or Gigabit Ethernet Fiber (SFP) connectivity per port), 400 MHz processor and 256 MB SDRAM.  Software includes advanced Layer 2 and full Layer 3 services (BGP-4, OSPF, RIP, VRRP, VRRPE, DVMRP, PIM-SM and PIM-DM).</t>
  </si>
  <si>
    <t>FastTRON SuperX Management-2 module with 12 combo copper / fiber Gigabit Ethernet ports (10/100/1000 Mbps (RJ45) or Gigabit Ethernet Fiber (SFP) connectivity per port), 466 MHz processor and 512 MB SDRAM.  Software includes advanced Layer 2 and full Layer 3 services (BGP-4, OSPF, RIP, VRRP, VRRPE, DVMRP, PIM-SM and PIM-DM).</t>
  </si>
  <si>
    <t>M3 Management module for the FastTRON SX 800 and SX 1600 chassis.  This management module includes one Ethernet management port and one serial console port.  There are no user traffic ports supported on this module.  To configure 1:1 management module redundancy, two of the same type of management modules must be installed in the chassis.  The loaded software image supports advanced Layer 2 and Base Layer 3 services (static routes and RIP advertisement).</t>
  </si>
  <si>
    <t>M3 Management module for the FastTRON SX 800 and SX 1600 chassis.  This management module includes one Ethernet management port and one serial console port.  There are no user traffic ports supported on this module.  To configure 1:1 management module redundancy, two of the same type of management modules must be installed in the chassis.  The loaded software image supports advanced Layer 2 and Base Layer 3 services (static routes and RIP advertisement).  The loaded software image supports advanced Layer 2 and Full Layer 3 services (BGP-4, OSPF, RIP, VRRP, VRRPE, DVMRP, PIM-SM and PIM-DM).</t>
  </si>
  <si>
    <t>M4 Management module for the FastTRON SX 800 and SX 1600 chassis.  This management module includes one Ethernet management port, one serial console port and two 10-Gigabit Ethernet ports for user traffic.  The 10-GE ports support pluggable XFP transceivers.  These transceivers must be purchased separately.  To configure 1:1 management module redundancy, two of the same type of management modules must be installed in the chassis.  The loaded software image supports advanced Layer 2 and Base Layer 3 services (static routes and RIP advertisement).</t>
  </si>
  <si>
    <t>M4 Management module for the FastTRON SX 800 and SX 1600 chassis.  This management module includes one Ethernet management port, one serial console port and two 10-Gigabit Ethernet ports for user traffic.  The 10-GE ports support pluggable XFP transceivers.  These transceivers must be purchased separately.  To configure 1:1 management module redundancy, two of the same type of management modules must be installed in the chassis.  The loaded software image supports advanced Layer 2 and Base Layer 3 services (static routes and RIP advertisement).  The loaded software image supports advanced Layer 2 and Full Layer 3 services (BGP-4, OSPF, RIP, VRRP, VRRPE, DVMRP, PIM-SM and PIM-DM).</t>
  </si>
  <si>
    <t>2-port CX4 FastTRON SuperX module bundle. Includes one SX-FI2XG and two 10G-XFP-CX4.</t>
  </si>
  <si>
    <t>24-port 10/100/1000 Gigabit Ethernet module for FastTRON SuperX family</t>
  </si>
  <si>
    <t>24-port 10/100/1000 Gigabit Ethernet with POE installed module for FastTRON SuperX family</t>
  </si>
  <si>
    <t>24-port SFP based Gigabit Ethernet  module for FastTRON SuperX family</t>
  </si>
  <si>
    <t>24-port 100/1000 SFP based Fiber Ethernet  module for FastTRON SuperX family</t>
  </si>
  <si>
    <t>2-port XFP 10 Gigabit Ethernet module for FastTRON SuperX family</t>
  </si>
  <si>
    <t>2-port LAN/WAN XFP 10 Gigabit Ethernet module for the FastTRON SuperX family. XFP optics are required and must be purchased separately.</t>
  </si>
  <si>
    <t>90-240 VAC power supply for the FastTRON SuperX family</t>
  </si>
  <si>
    <t>DC Power Supply for the FastTRON SuperX family</t>
  </si>
  <si>
    <t>DC POE power supply for the FastTRON SuperX family</t>
  </si>
  <si>
    <t>FSX 2500W 220V POE PS for the FastTRON SuperX family</t>
  </si>
  <si>
    <t>Australian Power Cord for the FastTRON SuperX family</t>
  </si>
  <si>
    <t>FastTRON SuperX 8-slot Chassis only</t>
  </si>
  <si>
    <t>FastTRON SX 800 spare chassis.</t>
  </si>
  <si>
    <t>FastTRON SX 1600 spare chassis.</t>
  </si>
  <si>
    <t>FastTRON SuperX Fan Tray and Assembly</t>
  </si>
  <si>
    <t>Switch Fabric Module for the FastTRON SX 800 and the FastTRON SX 1600. Two are required to ensure high performance and high availability.</t>
  </si>
  <si>
    <t>48-port 10/100/1000Base-T, MRJ21 module for BigTRON RX-Series. Visit www.tycoelecTRONics.com/products/MRJ21 for information on available products, pricing and where to buy MRJ21 cabling and patch panels.</t>
  </si>
  <si>
    <t>BigTRON and FastTRON POE power supply shelf</t>
  </si>
  <si>
    <t>FastTRON stackable long rack ears. Applicable for the FES Products, FastTRON Workgroup X Series products, FES X Series products, and FastTRON GS products.</t>
  </si>
  <si>
    <t>FastTRON stackable long rack ears. Applicable for the FES, the FWSX, the FESX, and the FGS.</t>
  </si>
  <si>
    <t>Power cord (China IEC 309) for use with PS that supports 110/220v with 20Amp (FastTRON SuperX Family and BigTRON RX Series).</t>
  </si>
  <si>
    <t>Switch Software Updates (for FastTRON Workgroup, Backbone &amp; TurboTRON/8 or TurboTRON)</t>
  </si>
  <si>
    <t>Switch Software Updates for Chassis-based Layer 2 systems (for FastTRON II)</t>
  </si>
  <si>
    <t>220W, AC PS for FES</t>
  </si>
  <si>
    <t>NetCore 24-port 100BaseFX for 400/800/1500 (multimode)</t>
  </si>
  <si>
    <t>NetCore 24-port 100BaseFX for BigTRON 400/800/1500 (15km)</t>
  </si>
  <si>
    <t>BigTRON 24-port 10/100BASE-TX NetCore POE Module</t>
  </si>
  <si>
    <t>NetCore 48 port 10/100Base-TX double-wide module for with RJ-45  Connectors.  Release 7.6.05a or later is required to operate this module.</t>
  </si>
  <si>
    <t>NetCore 48 port 10/100Base-TX (RJ-45) double-wide</t>
  </si>
  <si>
    <t>NetCore 48 port 10/100Base-TX module for BigTRON with RJ-21 Telco  Connectors. Release 7.6.05a or later is required to operate this module.</t>
  </si>
  <si>
    <t>NetCore 48 port 10/100Base-TX (RJ-21 Female) for BigTRON</t>
  </si>
  <si>
    <t>16-port 100/1000Base-T (RJ45) BigTRON NetCore module</t>
  </si>
  <si>
    <t>8-port 1000Base-X (SFP) BigTRON NetCore module</t>
  </si>
  <si>
    <t>16-port 1000Base-X (SFP) BigTRON NetCore module</t>
  </si>
  <si>
    <t>8-port 1000Base-X (SFP) redundant BigTRON NetCore management module</t>
  </si>
  <si>
    <t>BigTRON 2-port 1000BASE-X NetCore M4 Management Module (Release 7.6.05 or later required)</t>
  </si>
  <si>
    <t>BigTRON 2-port 1000BASE-X BigTRON NetCore Management Module</t>
  </si>
  <si>
    <t>4-slot SecureTRONLS chassis equipped with one LS-SSM6-1 (1BP) management module, one AC power supply, one 48-port 10/100 RJ45 Module, and one 2-port SFP Gigabit NetCore line module</t>
  </si>
  <si>
    <t>4-slot SecureTRONLS chassis equipped with one LS-SSM6-1 (1BP) management module, one AC power supply, two 16-port 100/1000 Mbps RJ45 Modules, and one 2-port SFP Gigabit NetCore line module</t>
  </si>
  <si>
    <t>4-slot SecureTRONLS chassis equipped with one SSM6 (3BP) management module, one AC power supply, two 16-port 100/1000 Mbps RJ45 Modules, and one 2-port SFP Gigabit NetCore line module</t>
  </si>
  <si>
    <t>8-port 1000Base-X (SFP) NetCore Module</t>
  </si>
  <si>
    <t>8-port SFP ServerTRON NetCore Module</t>
  </si>
  <si>
    <t>16-port 100/1000Base-T (RJ45) NetCore Module</t>
  </si>
  <si>
    <t>16-port 100/1000Base-T (RJ45) ServerTRON NetCore Module</t>
  </si>
  <si>
    <t>16-port 1000Base-X (SFP) NetCore Module</t>
  </si>
  <si>
    <t>16-port 1000Base-X (SFP) ServerTRON NetCore Module</t>
  </si>
  <si>
    <t>2-Port Gigabit NetCore Line Module (SFP).</t>
  </si>
  <si>
    <t>4-Port Gigabit NetCore Line Module (SFP).</t>
  </si>
  <si>
    <t>NetCore 48 port 10/100Base-TX double-wide module for with RJ-45  Connectors.</t>
  </si>
  <si>
    <t>4-slot chassis equipped with WSM6 (Web Switching Management Module) that automatically aligns itself with up to three additional NetCore line modules installed in the chassis for high-performance Layer 4-7 switching applications</t>
  </si>
  <si>
    <t>4-slot -48V DC chassis equipped with WSM6 (Web Switching Management Module) that automatically aligns itself with up to three additional NetCore line modules installed in the chassis for high-performance Layer 4-7 switching applications</t>
  </si>
  <si>
    <t>8-slot chassis equipped with WSM6 (Web Switching Management Module) that automatically aligns itself with up to seven additional NetCore line modules installed in the chassis for high-performance Layer 4-7 switching applications</t>
  </si>
  <si>
    <t>8-slot -48V DC chassis equipped with WSM6 (Web Switching Management Module) that automatically aligns itself with up to seven additional NetCore line modules installed in the chassis for high-performance Layer 4-7 switching applications</t>
  </si>
  <si>
    <t>3-slot 2U High ServerTRON chassis equipped with one WSM6-1, one AC power supply, and one 2-port J-B2Gx NetCore line module</t>
  </si>
  <si>
    <t>3-slot 2U High ServerTRON chassis equipped with one WSM6-1, one AC power supply, and one 16-port 100/1000 Mbps J-B16GC NetCore line module</t>
  </si>
  <si>
    <t>3-slot 2U High ServerTRON chassis equipped with one WSM6-1, one AC power supply, and one 24-port 10/100 and 4-port Gigabit J-B2404CF NetCore line module</t>
  </si>
  <si>
    <t>3-slot 2U High ServerTRON chassis equipped with one WSM6-SSL-1 (integrated SSL acceleration), one AC power supply, and one 2-port J-B2Gx NetCore line module</t>
  </si>
  <si>
    <t>3-slot 2U High ServerTRON chassis equipped with one WSM6-SSL-1 (integrated SSL acceleration), one AC power supply, and one 16-port 100/1000 Mbps J-B16GC NetCore line module</t>
  </si>
  <si>
    <t>3-slot 2U High ServerTRON chassis equipped with one WSM6-SSL-1 (integrated SSL acceleration), one AC power supply, and one 24-port 10/100 and 4-port Gigabit J-B2404CF NetCore line module</t>
  </si>
  <si>
    <t>4-slot chassis equipped with WSM6-1 (Web Switching Management Module with ONE BP), one AC Power Supply and 2-Port Gigabit NetCore Line Module</t>
  </si>
  <si>
    <t>4-slot chassis equipped with WSM6-1 (Web Switching Management Module with ONE BP), one –48V DC Power Supply and 2-Port Gigabit NetCore Line Module</t>
  </si>
  <si>
    <t>4-slot chassis equipped with WSM6-1 (Web Switching Management Module with ONE BP), one AC Power Supply and 16-Port 100/1000 Mbps Copper NetCore Line Module</t>
  </si>
  <si>
    <t>4-slot chassis equipped with WSM6-1 (Web Switching Management Module with ONE BP), one AC Power Supply and 16-Port 100/1000 Mbps Copper NetCore Line Module (-48 V DC Power Supply)</t>
  </si>
  <si>
    <t>4-slot chassis equipped with WSM6-1 (Web Switching Management Module with ONE BP), one AC Power Supply and 24-Port 10/100 and 4-port Gigabit Copper and Fiber Combo NetCore Line Module (Requires R 9.3.00 or Later)</t>
  </si>
  <si>
    <t>4-slot chassis equipped with WSM6-1 (Web Switching Management Module with ONE BP), one -48V DC Power Supply and 24-Port 10/100 and 4-port Gigabit Copper and Fiber Combo NetCore Line Module (Requires R 9.3.00 or Later)</t>
  </si>
  <si>
    <t>4-slot chassis equipped with WSM6-2 (Web Switching Management Module with TWO BPs), one AC Power Supply and 4-Port Gigabit NetCore Line Module</t>
  </si>
  <si>
    <t>4-slot chassis equipped with WSM6-2 (Web Switching Management Module with TWO BPs), one –48V DC Power Supply and 4-Port Gigabit NetCore Line Module</t>
  </si>
  <si>
    <t>4-slot chassis equipped with WSM6-2 (Web Switching Management Module with TWO BP), one AC Power Supply and 24-Port 10/100 and 4-port Gigabit Copper and Fiber Combo NetCore Line Module</t>
  </si>
  <si>
    <t>4-slot chassis equipped with WSM6-2 (Web Switching Management Module with TWO BP), one -48V DC Power Supply and 24-Port 10/100 and 4-port Gigabit Copper and Fiber Combo NetCore Line Module</t>
  </si>
  <si>
    <t>4-slot chassis equipped with WSM6-2 (Web Switching Management Module with TWO BP), one AC Power Supply and 16-Port 100/1000 Mbps Copper NetCore Line Module</t>
  </si>
  <si>
    <t>4-slot chassis equipped with WSM6-2 (Web Switching Management Module with TWO BP), one -48V DC Power Supply and 16-Port 100/1000 Mbps Copper NetCore Line Module</t>
  </si>
  <si>
    <t>Replacement FAN for the 3-slot NetCore Chassis</t>
  </si>
  <si>
    <t>Long Description</t>
  </si>
  <si>
    <t>Short Description</t>
  </si>
  <si>
    <t>Loc Code</t>
  </si>
  <si>
    <t>Retail Price</t>
  </si>
  <si>
    <t>Discount</t>
  </si>
  <si>
    <t>Qty</t>
  </si>
  <si>
    <t>Sub Total</t>
  </si>
  <si>
    <t>TOTAL</t>
  </si>
  <si>
    <t>Customer:</t>
  </si>
  <si>
    <t>Global Financial Consulting</t>
  </si>
  <si>
    <t>Customer Category:</t>
  </si>
  <si>
    <t>Bronze</t>
  </si>
  <si>
    <t>Silver</t>
  </si>
  <si>
    <t>Gold</t>
  </si>
  <si>
    <t>Platinum</t>
  </si>
  <si>
    <t>Customer Category</t>
  </si>
  <si>
    <t>Discount Matrix</t>
  </si>
  <si>
    <t>Cost Summary</t>
  </si>
  <si>
    <t>Total</t>
  </si>
  <si>
    <t>NetTRON - Quote for Network Infrastructure</t>
  </si>
  <si>
    <t>NetTRON - International Price List</t>
  </si>
  <si>
    <t>DiscCategory</t>
  </si>
  <si>
    <t>Installation Location</t>
  </si>
  <si>
    <t>Item Code</t>
  </si>
  <si>
    <t>Disc Cat</t>
  </si>
  <si>
    <t>Cust Cat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</si>
</sst>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_);[Red]\(&quot;$&quot;#,##0\)"/>
    <numFmt numFmtId="165" formatCode="&quot;$&quot;#,##0.00"/>
    <numFmt numFmtId="166" formatCode="&quot;$&quot;#,##0.00;\-&quot;$&quot;#,##0.00;"/>
    <numFmt numFmtId="167" formatCode="0.00%;\-0.00%;"/>
  </numFmts>
  <fonts count="16" x14ac:knownFonts="1">
    <font>
      <sz val="10"/>
      <name val="Arial"/>
    </font>
    <font>
      <sz val="11"/>
      <color theme="1"/>
      <name val="Calibri"/>
      <family val="2"/>
      <scheme val="minor"/>
    </font>
    <font>
      <sz val="11"/>
      <color theme="1"/>
      <name val="Calibri"/>
      <family val="2"/>
      <scheme val="minor"/>
    </font>
    <font>
      <sz val="10"/>
      <name val="Arial"/>
      <family val="2"/>
    </font>
    <font>
      <sz val="10"/>
      <color indexed="8"/>
      <name val="Arial"/>
      <family val="2"/>
    </font>
    <font>
      <sz val="24"/>
      <name val="Courier New"/>
      <family val="3"/>
    </font>
    <font>
      <sz val="10"/>
      <name val="Courier New"/>
      <family val="3"/>
    </font>
    <font>
      <sz val="10"/>
      <name val="Arial"/>
      <family val="2"/>
    </font>
    <font>
      <sz val="18"/>
      <color theme="3"/>
      <name val="Calibri Light"/>
      <family val="2"/>
      <scheme val="major"/>
    </font>
    <font>
      <b/>
      <sz val="11"/>
      <color theme="1"/>
      <name val="Calibri"/>
      <family val="2"/>
      <scheme val="minor"/>
    </font>
    <font>
      <sz val="10"/>
      <name val="Calibri"/>
      <family val="2"/>
      <scheme val="minor"/>
    </font>
    <font>
      <sz val="10"/>
      <color indexed="8"/>
      <name val="Calibri"/>
      <family val="2"/>
      <scheme val="minor"/>
    </font>
    <font>
      <b/>
      <sz val="10"/>
      <color theme="1"/>
      <name val="Calibri"/>
      <family val="2"/>
      <scheme val="minor"/>
    </font>
    <font>
      <sz val="11"/>
      <color theme="0"/>
      <name val="Calibri"/>
      <family val="2"/>
      <scheme val="minor"/>
    </font>
    <font>
      <sz val="10"/>
      <color theme="1"/>
      <name val="Calibri"/>
      <family val="2"/>
      <scheme val="minor"/>
    </font>
    <font>
      <sz val="10"/>
      <color theme="0"/>
      <name val="Calibri"/>
      <family val="2"/>
      <scheme val="minor"/>
    </font>
  </fonts>
  <fills count="7">
    <fill>
      <patternFill patternType="none"/>
    </fill>
    <fill>
      <patternFill patternType="gray125"/>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6"/>
      </patternFill>
    </fill>
  </fills>
  <borders count="12">
    <border>
      <left/>
      <right/>
      <top/>
      <bottom/>
      <diagonal/>
    </border>
    <border>
      <left style="thin">
        <color indexed="64"/>
      </left>
      <right style="thin">
        <color indexed="64"/>
      </right>
      <top style="thin">
        <color indexed="64"/>
      </top>
      <bottom style="thin">
        <color indexed="64"/>
      </bottom>
      <diagonal/>
    </border>
    <border>
      <left/>
      <right/>
      <top style="thin">
        <color theme="4"/>
      </top>
      <bottom style="double">
        <color theme="4"/>
      </bottom>
      <diagonal/>
    </border>
    <border>
      <left/>
      <right/>
      <top style="thin">
        <color theme="1"/>
      </top>
      <bottom style="thin">
        <color theme="1"/>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0">
    <xf numFmtId="0" fontId="0" fillId="0" borderId="0"/>
    <xf numFmtId="0" fontId="4" fillId="0" borderId="0"/>
    <xf numFmtId="0" fontId="5" fillId="0" borderId="1" applyProtection="0">
      <alignment vertical="center"/>
    </xf>
    <xf numFmtId="0" fontId="6" fillId="0" borderId="1" applyFill="0" applyBorder="0" applyProtection="0">
      <alignment horizontal="left" vertical="center"/>
    </xf>
    <xf numFmtId="9" fontId="7" fillId="0" borderId="0" applyFont="0" applyFill="0" applyBorder="0" applyAlignment="0" applyProtection="0"/>
    <xf numFmtId="0" fontId="8" fillId="0" borderId="0" applyNumberFormat="0" applyFill="0" applyBorder="0" applyAlignment="0" applyProtection="0"/>
    <xf numFmtId="0" fontId="9" fillId="0" borderId="2" applyNumberFormat="0" applyFill="0" applyAlignment="0" applyProtection="0"/>
    <xf numFmtId="0" fontId="2" fillId="2" borderId="0" applyNumberFormat="0" applyBorder="0" applyAlignment="0" applyProtection="0"/>
    <xf numFmtId="0" fontId="3" fillId="0" borderId="0"/>
    <xf numFmtId="0" fontId="13" fillId="6" borderId="0" applyNumberFormat="0" applyBorder="0" applyAlignment="0" applyProtection="0"/>
  </cellStyleXfs>
  <cellXfs count="74">
    <xf numFmtId="0" fontId="0" fillId="0" borderId="0" xfId="0"/>
    <xf numFmtId="0" fontId="10" fillId="0" borderId="0" xfId="0" applyFont="1"/>
    <xf numFmtId="49" fontId="11" fillId="0" borderId="0" xfId="1" applyNumberFormat="1" applyFont="1" applyAlignment="1">
      <alignment horizontal="left" wrapText="1"/>
    </xf>
    <xf numFmtId="0" fontId="10" fillId="0" borderId="0" xfId="0" applyFont="1" applyAlignment="1">
      <alignment horizontal="center"/>
    </xf>
    <xf numFmtId="49" fontId="10" fillId="0" borderId="0" xfId="0" applyNumberFormat="1" applyFont="1" applyAlignment="1">
      <alignment horizontal="left"/>
    </xf>
    <xf numFmtId="0" fontId="0" fillId="4" borderId="0" xfId="0" applyFill="1"/>
    <xf numFmtId="165" fontId="10" fillId="0" borderId="0" xfId="0" applyNumberFormat="1" applyFont="1"/>
    <xf numFmtId="0" fontId="10" fillId="0" borderId="0" xfId="0" applyFont="1" applyAlignment="1">
      <alignment vertical="center"/>
    </xf>
    <xf numFmtId="0" fontId="10" fillId="0" borderId="0" xfId="0" applyFont="1" applyAlignment="1">
      <alignment horizontal="center" vertical="center"/>
    </xf>
    <xf numFmtId="0" fontId="10" fillId="0" borderId="0" xfId="0" applyFont="1" applyAlignment="1">
      <alignment horizontal="right" vertical="center"/>
    </xf>
    <xf numFmtId="0" fontId="10" fillId="0" borderId="0" xfId="0" applyFont="1" applyAlignment="1">
      <alignment horizontal="right"/>
    </xf>
    <xf numFmtId="165" fontId="10" fillId="0" borderId="0" xfId="0" applyNumberFormat="1" applyFont="1" applyAlignment="1">
      <alignment horizontal="right" vertical="center"/>
    </xf>
    <xf numFmtId="0" fontId="9" fillId="0" borderId="2" xfId="6"/>
    <xf numFmtId="14" fontId="9" fillId="4" borderId="0" xfId="7" applyNumberFormat="1" applyFont="1" applyFill="1" applyAlignment="1">
      <alignment horizontal="left" vertical="center"/>
    </xf>
    <xf numFmtId="0" fontId="9" fillId="4" borderId="0" xfId="7" applyFont="1" applyFill="1" applyAlignment="1">
      <alignment horizontal="center" vertical="center"/>
    </xf>
    <xf numFmtId="0" fontId="9" fillId="2" borderId="0" xfId="7" applyFont="1" applyAlignment="1">
      <alignment horizontal="left" vertical="center"/>
    </xf>
    <xf numFmtId="14" fontId="10" fillId="0" borderId="0" xfId="0" applyNumberFormat="1" applyFont="1" applyAlignment="1">
      <alignment horizontal="right" vertical="center"/>
    </xf>
    <xf numFmtId="0" fontId="8" fillId="0" borderId="0" xfId="5" applyBorder="1" applyAlignment="1">
      <alignment horizontal="left" vertical="center"/>
    </xf>
    <xf numFmtId="0" fontId="10" fillId="4" borderId="0" xfId="0" applyFont="1" applyFill="1"/>
    <xf numFmtId="0" fontId="10" fillId="4" borderId="0" xfId="0" applyFont="1" applyFill="1" applyAlignment="1">
      <alignment horizontal="center"/>
    </xf>
    <xf numFmtId="0" fontId="10" fillId="4" borderId="0" xfId="0" applyFont="1" applyFill="1" applyAlignment="1">
      <alignment horizontal="right"/>
    </xf>
    <xf numFmtId="165" fontId="9" fillId="0" borderId="2" xfId="6" applyNumberFormat="1"/>
    <xf numFmtId="0" fontId="12" fillId="0" borderId="3" xfId="0" applyFont="1" applyBorder="1" applyAlignment="1">
      <alignment vertical="center"/>
    </xf>
    <xf numFmtId="166" fontId="10" fillId="0" borderId="0" xfId="0" applyNumberFormat="1" applyFont="1"/>
    <xf numFmtId="166" fontId="10" fillId="0" borderId="0" xfId="0" applyNumberFormat="1" applyFont="1" applyAlignment="1">
      <alignment horizontal="right" vertical="center"/>
    </xf>
    <xf numFmtId="166" fontId="10" fillId="0" borderId="0" xfId="0" applyNumberFormat="1" applyFont="1" applyAlignment="1">
      <alignment horizontal="right"/>
    </xf>
    <xf numFmtId="166" fontId="12" fillId="0" borderId="3" xfId="0" applyNumberFormat="1" applyFont="1" applyBorder="1" applyAlignment="1">
      <alignment horizontal="right" vertical="center"/>
    </xf>
    <xf numFmtId="167" fontId="10" fillId="0" borderId="0" xfId="4" applyNumberFormat="1" applyFont="1" applyAlignment="1"/>
    <xf numFmtId="0" fontId="11" fillId="0" borderId="0" xfId="0" applyFont="1" applyAlignment="1">
      <alignment horizontal="left" wrapText="1"/>
    </xf>
    <xf numFmtId="0" fontId="10" fillId="4" borderId="0" xfId="0" applyFont="1" applyFill="1" applyAlignment="1">
      <alignment vertical="center"/>
    </xf>
    <xf numFmtId="4" fontId="10" fillId="0" borderId="0" xfId="0" applyNumberFormat="1" applyFont="1" applyAlignment="1">
      <alignment horizontal="right"/>
    </xf>
    <xf numFmtId="0" fontId="13" fillId="6" borderId="0" xfId="9" applyBorder="1" applyAlignment="1">
      <alignment horizontal="center"/>
    </xf>
    <xf numFmtId="4" fontId="10" fillId="0" borderId="1" xfId="0" applyNumberFormat="1" applyFont="1" applyBorder="1" applyAlignment="1">
      <alignment horizontal="right"/>
    </xf>
    <xf numFmtId="0" fontId="10" fillId="0" borderId="1" xfId="0" applyFont="1" applyBorder="1"/>
    <xf numFmtId="0" fontId="8" fillId="0" borderId="0" xfId="5" applyFill="1" applyBorder="1"/>
    <xf numFmtId="0" fontId="10" fillId="5" borderId="0" xfId="0" applyFont="1" applyFill="1" applyAlignment="1">
      <alignment vertical="center"/>
    </xf>
    <xf numFmtId="0" fontId="10" fillId="5" borderId="0" xfId="0" applyFont="1" applyFill="1" applyAlignment="1">
      <alignment horizontal="center" vertical="center"/>
    </xf>
    <xf numFmtId="0" fontId="10" fillId="3" borderId="0" xfId="0" applyFont="1" applyFill="1" applyAlignment="1">
      <alignment horizontal="center" vertical="center"/>
    </xf>
    <xf numFmtId="10" fontId="10" fillId="0" borderId="1" xfId="0" applyNumberFormat="1" applyFont="1" applyBorder="1" applyAlignment="1">
      <alignment horizontal="center" vertical="center"/>
    </xf>
    <xf numFmtId="10" fontId="10" fillId="0" borderId="0" xfId="4" applyNumberFormat="1" applyFont="1"/>
    <xf numFmtId="0" fontId="1" fillId="2" borderId="0" xfId="7" applyFont="1" applyBorder="1" applyAlignment="1">
      <alignment horizontal="right" vertical="center"/>
    </xf>
    <xf numFmtId="0" fontId="11" fillId="0" borderId="1" xfId="1" applyFont="1" applyBorder="1"/>
    <xf numFmtId="165" fontId="14" fillId="2" borderId="0" xfId="7" applyNumberFormat="1" applyFont="1" applyBorder="1" applyAlignment="1">
      <alignment horizontal="center"/>
    </xf>
    <xf numFmtId="0" fontId="14" fillId="2" borderId="0" xfId="7" applyFont="1" applyBorder="1" applyAlignment="1">
      <alignment horizontal="center"/>
    </xf>
    <xf numFmtId="0" fontId="14" fillId="2" borderId="0" xfId="7" applyFont="1" applyAlignment="1">
      <alignment horizontal="center"/>
    </xf>
    <xf numFmtId="10" fontId="10" fillId="0" borderId="0" xfId="4" applyNumberFormat="1" applyFont="1" applyAlignment="1">
      <alignment horizontal="center"/>
    </xf>
    <xf numFmtId="10" fontId="14" fillId="2" borderId="0" xfId="7" applyNumberFormat="1" applyFont="1" applyAlignment="1">
      <alignment horizontal="center"/>
    </xf>
    <xf numFmtId="0" fontId="8" fillId="0" borderId="0" xfId="5" applyFill="1" applyBorder="1" applyAlignment="1"/>
    <xf numFmtId="4" fontId="10" fillId="0" borderId="1" xfId="0" applyNumberFormat="1" applyFont="1" applyBorder="1"/>
    <xf numFmtId="164" fontId="10" fillId="0" borderId="1" xfId="0" applyNumberFormat="1" applyFont="1" applyBorder="1"/>
    <xf numFmtId="49" fontId="10" fillId="0" borderId="1" xfId="2" applyNumberFormat="1" applyFont="1" applyAlignment="1">
      <alignment horizontal="left"/>
    </xf>
    <xf numFmtId="0" fontId="11" fillId="0" borderId="1" xfId="0" applyFont="1" applyBorder="1" applyAlignment="1">
      <alignment horizontal="left"/>
    </xf>
    <xf numFmtId="0" fontId="10" fillId="0" borderId="1" xfId="3" applyFont="1" applyFill="1" applyBorder="1" applyAlignment="1">
      <alignment horizontal="left"/>
    </xf>
    <xf numFmtId="49" fontId="11" fillId="0" borderId="4" xfId="1" applyNumberFormat="1" applyFont="1" applyBorder="1" applyAlignment="1">
      <alignment horizontal="left"/>
    </xf>
    <xf numFmtId="49" fontId="10" fillId="0" borderId="4" xfId="0" applyNumberFormat="1" applyFont="1" applyBorder="1" applyAlignment="1">
      <alignment horizontal="left"/>
    </xf>
    <xf numFmtId="0" fontId="10" fillId="0" borderId="4" xfId="0" applyFont="1" applyBorder="1" applyAlignment="1">
      <alignment horizontal="left"/>
    </xf>
    <xf numFmtId="0" fontId="10" fillId="0" borderId="4" xfId="0" applyFont="1" applyBorder="1"/>
    <xf numFmtId="0" fontId="11" fillId="0" borderId="4" xfId="0" applyFont="1" applyBorder="1" applyAlignment="1">
      <alignment horizontal="left"/>
    </xf>
    <xf numFmtId="0" fontId="11" fillId="0" borderId="5" xfId="1" applyFont="1" applyBorder="1" applyAlignment="1">
      <alignment horizontal="center"/>
    </xf>
    <xf numFmtId="49" fontId="11" fillId="0" borderId="6" xfId="1" applyNumberFormat="1" applyFont="1" applyBorder="1" applyAlignment="1">
      <alignment horizontal="left"/>
    </xf>
    <xf numFmtId="0" fontId="11" fillId="0" borderId="7" xfId="1" applyFont="1" applyBorder="1"/>
    <xf numFmtId="0" fontId="11" fillId="0" borderId="7" xfId="1" applyFont="1" applyBorder="1" applyAlignment="1">
      <alignment horizontal="left"/>
    </xf>
    <xf numFmtId="4" fontId="11" fillId="0" borderId="7" xfId="1" applyNumberFormat="1" applyFont="1" applyBorder="1" applyAlignment="1">
      <alignment horizontal="right"/>
    </xf>
    <xf numFmtId="49" fontId="11" fillId="0" borderId="8" xfId="1" applyNumberFormat="1" applyFont="1" applyBorder="1" applyAlignment="1">
      <alignment horizontal="center"/>
    </xf>
    <xf numFmtId="49" fontId="11" fillId="0" borderId="9" xfId="1" applyNumberFormat="1" applyFont="1" applyBorder="1" applyAlignment="1">
      <alignment horizontal="left"/>
    </xf>
    <xf numFmtId="0" fontId="11" fillId="0" borderId="10" xfId="1" applyFont="1" applyBorder="1"/>
    <xf numFmtId="4" fontId="10" fillId="0" borderId="10" xfId="0" applyNumberFormat="1" applyFont="1" applyBorder="1"/>
    <xf numFmtId="0" fontId="11" fillId="0" borderId="11" xfId="1" applyFont="1" applyBorder="1" applyAlignment="1">
      <alignment horizontal="center"/>
    </xf>
    <xf numFmtId="0" fontId="15" fillId="4" borderId="0" xfId="0" applyFont="1" applyFill="1"/>
    <xf numFmtId="0" fontId="9" fillId="2" borderId="0" xfId="7" applyFont="1" applyAlignment="1">
      <alignment horizontal="left" vertical="center"/>
    </xf>
    <xf numFmtId="0" fontId="1" fillId="2" borderId="0" xfId="7" applyFont="1" applyAlignment="1">
      <alignment horizontal="right" vertical="center"/>
    </xf>
    <xf numFmtId="0" fontId="9" fillId="2" borderId="0" xfId="7" applyFont="1" applyAlignment="1">
      <alignment horizontal="center" vertical="center"/>
    </xf>
    <xf numFmtId="0" fontId="10" fillId="5" borderId="0" xfId="0" applyFont="1" applyFill="1" applyAlignment="1">
      <alignment horizontal="center" vertical="center"/>
    </xf>
    <xf numFmtId="0" fontId="10" fillId="5" borderId="0" xfId="0" applyFont="1" applyFill="1" applyAlignment="1">
      <alignment horizontal="center" vertical="center" textRotation="90" wrapText="1"/>
    </xf>
  </cellXfs>
  <cellStyles count="10">
    <cellStyle name="20% - Accent3" xfId="7" builtinId="38"/>
    <cellStyle name="Accent3" xfId="9" builtinId="37"/>
    <cellStyle name="Normal" xfId="0" builtinId="0"/>
    <cellStyle name="Normal 2" xfId="8" xr:uid="{00000000-0005-0000-0000-000003000000}"/>
    <cellStyle name="Normal_Sheet1" xfId="1" xr:uid="{00000000-0005-0000-0000-000004000000}"/>
    <cellStyle name="Percent" xfId="4" builtinId="5"/>
    <cellStyle name="Released" xfId="2" xr:uid="{00000000-0005-0000-0000-000006000000}"/>
    <cellStyle name="Released-Short" xfId="3" xr:uid="{00000000-0005-0000-0000-000007000000}"/>
    <cellStyle name="Title" xfId="5" builtinId="15"/>
    <cellStyle name="Total" xfId="6" builtinId="25"/>
  </cellStyles>
  <dxfs count="31">
    <dxf>
      <fill>
        <patternFill>
          <bgColor theme="0" tint="-4.9989318521683403E-2"/>
        </patternFill>
      </fill>
    </dxf>
    <dxf>
      <fill>
        <patternFill>
          <bgColor theme="4" tint="0.79998168889431442"/>
        </patternFill>
      </fill>
    </dxf>
    <dxf>
      <fill>
        <patternFill>
          <bgColor theme="0"/>
        </patternFill>
      </fill>
    </dxf>
    <dxf>
      <font>
        <b val="0"/>
        <i val="0"/>
        <strike val="0"/>
        <condense val="0"/>
        <extend val="0"/>
        <outline val="0"/>
        <shadow val="0"/>
        <u val="none"/>
        <vertAlign val="baseline"/>
        <sz val="10"/>
        <color indexed="8"/>
        <name val="Calibri"/>
        <family val="2"/>
        <scheme val="minor"/>
      </font>
      <numFmt numFmtId="0" formatCode="General"/>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0"/>
        <color auto="1"/>
        <name val="Calibri"/>
        <family val="2"/>
        <scheme val="minor"/>
      </font>
      <numFmt numFmtId="4" formatCode="#,##0.00"/>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indexed="8"/>
        <name val="Calibri"/>
        <family val="2"/>
        <scheme val="minor"/>
      </font>
      <numFmt numFmtId="30" formatCode="@"/>
      <fill>
        <patternFill patternType="none">
          <fgColor indexed="64"/>
          <bgColor indexed="65"/>
        </patternFill>
      </fill>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0"/>
        <color auto="1"/>
        <name val="Calibri"/>
        <family val="2"/>
        <scheme val="minor"/>
      </font>
      <numFmt numFmtId="166" formatCode="&quot;$&quot;#,##0.00;\-&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66" formatCode="&quot;$&quot;#,##0.00;\-&quot;$&quot;#,##0.00;"/>
      <alignment horizontal="right"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167" formatCode="0.00%;\-0.00%;"/>
      <alignment horizontal="general"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numFmt numFmtId="166" formatCode="&quot;$&quot;#,##0.00;\-&quot;$&quot;#,##0.00;"/>
    </dxf>
    <dxf>
      <font>
        <b val="0"/>
        <i val="0"/>
        <strike val="0"/>
        <condense val="0"/>
        <extend val="0"/>
        <outline val="0"/>
        <shadow val="0"/>
        <u val="none"/>
        <vertAlign val="baseline"/>
        <sz val="10"/>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numFmt numFmtId="0" formatCode="General"/>
      <alignment horizontal="center" textRotation="0" wrapText="0" indent="0" justifyLastLine="0" shrinkToFit="0" readingOrder="0"/>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numFmt numFmtId="0" formatCode="General"/>
    </dxf>
    <dxf>
      <font>
        <b val="0"/>
        <i val="0"/>
        <strike val="0"/>
        <condense val="0"/>
        <extend val="0"/>
        <outline val="0"/>
        <shadow val="0"/>
        <u val="none"/>
        <vertAlign val="baseline"/>
        <sz val="10"/>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textRotation="0" wrapText="0" indent="0" justifyLastLine="0" shrinkToFit="0" readingOrder="0"/>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numFmt numFmtId="0" formatCode="General"/>
    </dxf>
    <dxf>
      <font>
        <b val="0"/>
        <i val="0"/>
        <strike val="0"/>
        <condense val="0"/>
        <extend val="0"/>
        <outline val="0"/>
        <shadow val="0"/>
        <u val="none"/>
        <vertAlign val="baseline"/>
        <sz val="10"/>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auto="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0"/>
        <color indexed="8"/>
        <name val="Calibri"/>
        <family val="2"/>
        <scheme val="minor"/>
      </font>
      <numFmt numFmtId="0" formatCode="General"/>
      <fill>
        <patternFill patternType="none">
          <fgColor indexed="64"/>
          <bgColor indexed="65"/>
        </patternFill>
      </fill>
      <alignment horizontal="left" vertical="bottom" textRotation="0" wrapText="1"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0"/>
        <color indexed="8"/>
        <name val="Calibri"/>
        <family val="2"/>
        <scheme val="minor"/>
      </font>
      <numFmt numFmtId="30" formatCode="@"/>
      <fill>
        <patternFill patternType="none">
          <fgColor indexed="64"/>
          <bgColor indexed="65"/>
        </patternFill>
      </fill>
      <alignment horizontal="left" vertical="bottom" textRotation="0" wrapText="1" indent="0" justifyLastLine="0" shrinkToFit="0" readingOrder="0"/>
    </dxf>
    <dxf>
      <font>
        <b val="0"/>
        <i val="0"/>
        <strike val="0"/>
        <condense val="0"/>
        <extend val="0"/>
        <outline val="0"/>
        <shadow val="0"/>
        <u val="none"/>
        <vertAlign val="baseline"/>
        <sz val="10"/>
        <color auto="1"/>
        <name val="Calibri"/>
        <family val="2"/>
        <scheme val="minor"/>
      </font>
    </dxf>
    <dxf>
      <font>
        <b val="0"/>
        <i val="0"/>
        <strike val="0"/>
        <condense val="0"/>
        <extend val="0"/>
        <outline val="0"/>
        <shadow val="0"/>
        <u val="none"/>
        <vertAlign val="baseline"/>
        <sz val="10"/>
        <color auto="1"/>
        <name val="Calibri"/>
        <family val="2"/>
        <scheme val="minor"/>
      </font>
      <alignment horizontal="general" vertical="center" textRotation="0" wrapText="0" indent="0" justifyLastLine="0" shrinkToFit="0" readingOrder="0"/>
    </dxf>
  </dxfs>
  <tableStyles count="0" defaultTableStyle="TableStyleMedium9" defaultPivotStyle="PivotStyleLight16"/>
  <colors>
    <mruColors>
      <color rgb="FFCCFF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10</xdr:col>
      <xdr:colOff>112569</xdr:colOff>
      <xdr:row>15</xdr:row>
      <xdr:rowOff>155863</xdr:rowOff>
    </xdr:from>
    <xdr:to>
      <xdr:col>11</xdr:col>
      <xdr:colOff>580159</xdr:colOff>
      <xdr:row>19</xdr:row>
      <xdr:rowOff>164522</xdr:rowOff>
    </xdr:to>
    <xdr:sp macro="" textlink="">
      <xdr:nvSpPr>
        <xdr:cNvPr id="7" name="TextBox 6">
          <a:extLst>
            <a:ext uri="{FF2B5EF4-FFF2-40B4-BE49-F238E27FC236}">
              <a16:creationId xmlns:a16="http://schemas.microsoft.com/office/drawing/2014/main" id="{94C4EEBE-DD07-4184-A3EE-584C804EAB02}"/>
            </a:ext>
          </a:extLst>
        </xdr:cNvPr>
        <xdr:cNvSpPr txBox="1"/>
      </xdr:nvSpPr>
      <xdr:spPr>
        <a:xfrm>
          <a:off x="8918864" y="3099954"/>
          <a:ext cx="1740477" cy="666750"/>
        </a:xfrm>
        <a:prstGeom prst="rect">
          <a:avLst/>
        </a:prstGeom>
        <a:solidFill>
          <a:srgbClr val="4472C4">
            <a:lumMod val="20000"/>
            <a:lumOff val="80000"/>
          </a:srgbClr>
        </a:solidFill>
        <a:ln w="9525" cmpd="sng">
          <a:solidFill>
            <a:sysClr val="window" lastClr="FFFFFF">
              <a:shade val="50000"/>
            </a:sysClr>
          </a:solidFill>
        </a:ln>
        <a:effectLst/>
      </xdr:spPr>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900" b="1" i="0" u="none" strike="noStrike" kern="0" cap="none" spc="0" normalizeH="0" baseline="0" noProof="0">
              <a:ln>
                <a:noFill/>
              </a:ln>
              <a:solidFill>
                <a:sysClr val="windowText" lastClr="000000"/>
              </a:solidFill>
              <a:effectLst/>
              <a:uLnTx/>
              <a:uFillTx/>
              <a:latin typeface="Calibri" panose="020F0502020204030204"/>
              <a:ea typeface="+mn-ea"/>
              <a:cs typeface="+mn-cs"/>
            </a:rPr>
            <a:t>Use of LOOKUP function:</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IN" sz="900" b="0" i="0" u="none" strike="noStrike" kern="0" cap="none" spc="0" normalizeH="0" baseline="0" noProof="0">
              <a:ln>
                <a:noFill/>
              </a:ln>
              <a:solidFill>
                <a:sysClr val="windowText" lastClr="000000"/>
              </a:solidFill>
              <a:effectLst/>
              <a:uLnTx/>
              <a:uFillTx/>
              <a:latin typeface="Calibri" panose="020F0502020204030204"/>
              <a:ea typeface="+mn-ea"/>
              <a:cs typeface="+mn-cs"/>
            </a:rPr>
            <a:t>To get Retail Price from International Price List Sheet  by using Exact Range LOOKUP.</a:t>
          </a:r>
        </a:p>
      </xdr:txBody>
    </xdr:sp>
    <xdr:clientData/>
  </xdr:twoCellAnchor>
  <xdr:twoCellAnchor>
    <xdr:from>
      <xdr:col>10</xdr:col>
      <xdr:colOff>467590</xdr:colOff>
      <xdr:row>11</xdr:row>
      <xdr:rowOff>121227</xdr:rowOff>
    </xdr:from>
    <xdr:to>
      <xdr:col>11</xdr:col>
      <xdr:colOff>580159</xdr:colOff>
      <xdr:row>13</xdr:row>
      <xdr:rowOff>164522</xdr:rowOff>
    </xdr:to>
    <xdr:sp macro="" textlink="">
      <xdr:nvSpPr>
        <xdr:cNvPr id="8" name="TextBox 7">
          <a:extLst>
            <a:ext uri="{FF2B5EF4-FFF2-40B4-BE49-F238E27FC236}">
              <a16:creationId xmlns:a16="http://schemas.microsoft.com/office/drawing/2014/main" id="{08AB5A5A-9EA3-4E6B-B914-10E01C2B7F41}"/>
            </a:ext>
          </a:extLst>
        </xdr:cNvPr>
        <xdr:cNvSpPr txBox="1"/>
      </xdr:nvSpPr>
      <xdr:spPr>
        <a:xfrm>
          <a:off x="9273885" y="2398568"/>
          <a:ext cx="1385456" cy="380999"/>
        </a:xfrm>
        <a:prstGeom prst="rect">
          <a:avLst/>
        </a:prstGeom>
        <a:solidFill>
          <a:srgbClr val="4472C4">
            <a:lumMod val="20000"/>
            <a:lumOff val="80000"/>
          </a:srgbClr>
        </a:solidFill>
        <a:ln w="9525" cmpd="sng">
          <a:solidFill>
            <a:sysClr val="window" lastClr="FFFFFF">
              <a:shade val="50000"/>
            </a:sysClr>
          </a:solidFill>
        </a:ln>
        <a:effectLst/>
      </xdr:spPr>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900" b="1" i="0" u="none" strike="noStrike" kern="0" cap="none" spc="0" normalizeH="0" baseline="0" noProof="0">
              <a:ln>
                <a:noFill/>
              </a:ln>
              <a:solidFill>
                <a:sysClr val="windowText" lastClr="000000"/>
              </a:solidFill>
              <a:effectLst/>
              <a:uLnTx/>
              <a:uFillTx/>
              <a:latin typeface="Calibri" panose="020F0502020204030204"/>
              <a:ea typeface="+mn-ea"/>
              <a:cs typeface="+mn-cs"/>
            </a:rPr>
            <a:t>Use of SUMIFS function:</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IN" sz="900" b="0" i="0" u="none" strike="noStrike" kern="0" cap="none" spc="0" normalizeH="0" baseline="0" noProof="0">
              <a:ln>
                <a:noFill/>
              </a:ln>
              <a:solidFill>
                <a:sysClr val="windowText" lastClr="000000"/>
              </a:solidFill>
              <a:effectLst/>
              <a:uLnTx/>
              <a:uFillTx/>
              <a:latin typeface="Calibri" panose="020F0502020204030204"/>
              <a:ea typeface="+mn-ea"/>
              <a:cs typeface="+mn-cs"/>
            </a:rPr>
            <a:t>To find sum the SubTotal.</a:t>
          </a:r>
        </a:p>
      </xdr:txBody>
    </xdr:sp>
    <xdr:clientData/>
  </xdr:twoCellAnchor>
  <xdr:twoCellAnchor>
    <xdr:from>
      <xdr:col>10</xdr:col>
      <xdr:colOff>112569</xdr:colOff>
      <xdr:row>21</xdr:row>
      <xdr:rowOff>1</xdr:rowOff>
    </xdr:from>
    <xdr:to>
      <xdr:col>11</xdr:col>
      <xdr:colOff>580159</xdr:colOff>
      <xdr:row>25</xdr:row>
      <xdr:rowOff>8660</xdr:rowOff>
    </xdr:to>
    <xdr:sp macro="" textlink="">
      <xdr:nvSpPr>
        <xdr:cNvPr id="17" name="TextBox 16">
          <a:extLst>
            <a:ext uri="{FF2B5EF4-FFF2-40B4-BE49-F238E27FC236}">
              <a16:creationId xmlns:a16="http://schemas.microsoft.com/office/drawing/2014/main" id="{D96CB568-8376-4A3C-8417-590E0C8C7485}"/>
            </a:ext>
          </a:extLst>
        </xdr:cNvPr>
        <xdr:cNvSpPr txBox="1"/>
      </xdr:nvSpPr>
      <xdr:spPr>
        <a:xfrm>
          <a:off x="8918864" y="3931228"/>
          <a:ext cx="1740477" cy="666750"/>
        </a:xfrm>
        <a:prstGeom prst="rect">
          <a:avLst/>
        </a:prstGeom>
        <a:solidFill>
          <a:srgbClr val="4472C4">
            <a:lumMod val="20000"/>
            <a:lumOff val="80000"/>
          </a:srgbClr>
        </a:solidFill>
        <a:ln w="9525" cmpd="sng">
          <a:solidFill>
            <a:sysClr val="window" lastClr="FFFFFF">
              <a:shade val="50000"/>
            </a:sysClr>
          </a:solidFill>
        </a:ln>
        <a:effectLst/>
      </xdr:spPr>
      <xdr:txBody>
        <a:bodyPr vertOverflow="clip" horzOverflow="clip" wrap="square"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IN" sz="900" b="1" i="0" u="none" strike="noStrike" kern="0" cap="none" spc="0" normalizeH="0" baseline="0" noProof="0">
              <a:ln>
                <a:noFill/>
              </a:ln>
              <a:solidFill>
                <a:sysClr val="windowText" lastClr="000000"/>
              </a:solidFill>
              <a:effectLst/>
              <a:uLnTx/>
              <a:uFillTx/>
              <a:latin typeface="Calibri" panose="020F0502020204030204"/>
              <a:ea typeface="+mn-ea"/>
              <a:cs typeface="+mn-cs"/>
            </a:rPr>
            <a:t>Use of INDEX, MATCH functions:</a:t>
          </a:r>
        </a:p>
        <a:p>
          <a:pPr marL="0" marR="0" lvl="0" indent="0" algn="l" defTabSz="914400" eaLnBrk="1" fontAlgn="auto" latinLnBrk="0" hangingPunct="1">
            <a:lnSpc>
              <a:spcPct val="100000"/>
            </a:lnSpc>
            <a:spcBef>
              <a:spcPts val="0"/>
            </a:spcBef>
            <a:spcAft>
              <a:spcPts val="0"/>
            </a:spcAft>
            <a:buClrTx/>
            <a:buSzTx/>
            <a:buFontTx/>
            <a:buNone/>
            <a:tabLst/>
            <a:defRPr/>
          </a:pPr>
          <a:r>
            <a:rPr kumimoji="0" lang="en-IN" sz="900" b="0" i="0" u="none" strike="noStrike" kern="0" cap="none" spc="0" normalizeH="0" baseline="0" noProof="0">
              <a:ln>
                <a:noFill/>
              </a:ln>
              <a:solidFill>
                <a:sysClr val="windowText" lastClr="000000"/>
              </a:solidFill>
              <a:effectLst/>
              <a:uLnTx/>
              <a:uFillTx/>
              <a:latin typeface="Calibri" panose="020F0502020204030204"/>
              <a:ea typeface="+mn-ea"/>
              <a:cs typeface="+mn-cs"/>
            </a:rPr>
            <a:t>To get Discount from International Price List Sheet  by using INDEX &amp; MATCH functions.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337706</xdr:colOff>
      <xdr:row>10</xdr:row>
      <xdr:rowOff>103907</xdr:rowOff>
    </xdr:from>
    <xdr:to>
      <xdr:col>7</xdr:col>
      <xdr:colOff>580159</xdr:colOff>
      <xdr:row>17</xdr:row>
      <xdr:rowOff>95249</xdr:rowOff>
    </xdr:to>
    <xdr:sp macro="" textlink="">
      <xdr:nvSpPr>
        <xdr:cNvPr id="2" name="TextBox 1">
          <a:extLst>
            <a:ext uri="{FF2B5EF4-FFF2-40B4-BE49-F238E27FC236}">
              <a16:creationId xmlns:a16="http://schemas.microsoft.com/office/drawing/2014/main" id="{D9447F00-DD42-43D1-ADA4-0FD8D98E4199}"/>
            </a:ext>
          </a:extLst>
        </xdr:cNvPr>
        <xdr:cNvSpPr txBox="1"/>
      </xdr:nvSpPr>
      <xdr:spPr>
        <a:xfrm>
          <a:off x="9273888" y="1904998"/>
          <a:ext cx="1212271" cy="1143001"/>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100" b="1"/>
            <a:t>Use of LOOKUP</a:t>
          </a:r>
          <a:r>
            <a:rPr lang="en-IN" sz="1100" b="1" baseline="0"/>
            <a:t> function:</a:t>
          </a:r>
        </a:p>
        <a:p>
          <a:pPr algn="l"/>
          <a:r>
            <a:rPr lang="en-IN" sz="1100" baseline="0"/>
            <a:t>To find the Category of Item by using Range LOOKUP.</a:t>
          </a:r>
          <a:endParaRPr lang="en-IN" sz="1100"/>
        </a:p>
      </xdr:txBody>
    </xdr:sp>
    <xdr:clientData/>
  </xdr:twoCellAnchor>
  <xdr:twoCellAnchor>
    <xdr:from>
      <xdr:col>4</xdr:col>
      <xdr:colOff>961159</xdr:colOff>
      <xdr:row>7</xdr:row>
      <xdr:rowOff>95250</xdr:rowOff>
    </xdr:from>
    <xdr:to>
      <xdr:col>6</xdr:col>
      <xdr:colOff>337704</xdr:colOff>
      <xdr:row>12</xdr:row>
      <xdr:rowOff>95250</xdr:rowOff>
    </xdr:to>
    <xdr:cxnSp macro="">
      <xdr:nvCxnSpPr>
        <xdr:cNvPr id="6" name="Connector: Elbow 5">
          <a:extLst>
            <a:ext uri="{FF2B5EF4-FFF2-40B4-BE49-F238E27FC236}">
              <a16:creationId xmlns:a16="http://schemas.microsoft.com/office/drawing/2014/main" id="{F8158CB3-CC03-40D5-8A24-07A66309416A}"/>
            </a:ext>
          </a:extLst>
        </xdr:cNvPr>
        <xdr:cNvCxnSpPr/>
      </xdr:nvCxnSpPr>
      <xdr:spPr>
        <a:xfrm>
          <a:off x="8018318" y="1402773"/>
          <a:ext cx="1255568" cy="822613"/>
        </a:xfrm>
        <a:prstGeom prst="bentConnector3">
          <a:avLst>
            <a:gd name="adj1" fmla="val 54138"/>
          </a:avLst>
        </a:prstGeom>
        <a:ln>
          <a:headEnd type="triangle"/>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xdr:from>
      <xdr:col>6</xdr:col>
      <xdr:colOff>753342</xdr:colOff>
      <xdr:row>6</xdr:row>
      <xdr:rowOff>103909</xdr:rowOff>
    </xdr:from>
    <xdr:to>
      <xdr:col>7</xdr:col>
      <xdr:colOff>60615</xdr:colOff>
      <xdr:row>10</xdr:row>
      <xdr:rowOff>103909</xdr:rowOff>
    </xdr:to>
    <xdr:cxnSp macro="">
      <xdr:nvCxnSpPr>
        <xdr:cNvPr id="8" name="Connector: Elbow 7">
          <a:extLst>
            <a:ext uri="{FF2B5EF4-FFF2-40B4-BE49-F238E27FC236}">
              <a16:creationId xmlns:a16="http://schemas.microsoft.com/office/drawing/2014/main" id="{42895F56-DB66-4591-824A-616C3373A753}"/>
            </a:ext>
          </a:extLst>
        </xdr:cNvPr>
        <xdr:cNvCxnSpPr/>
      </xdr:nvCxnSpPr>
      <xdr:spPr>
        <a:xfrm rot="5400000">
          <a:off x="9499024" y="1437409"/>
          <a:ext cx="658091" cy="277091"/>
        </a:xfrm>
        <a:prstGeom prst="bentConnector3">
          <a:avLst>
            <a:gd name="adj1" fmla="val 53947"/>
          </a:avLst>
        </a:prstGeom>
        <a:ln>
          <a:headEnd type="triangle"/>
          <a:tailEnd type="triangle"/>
        </a:ln>
      </xdr:spPr>
      <xdr:style>
        <a:lnRef idx="3">
          <a:schemeClr val="accent2"/>
        </a:lnRef>
        <a:fillRef idx="0">
          <a:schemeClr val="accent2"/>
        </a:fillRef>
        <a:effectRef idx="2">
          <a:schemeClr val="accent2"/>
        </a:effectRef>
        <a:fontRef idx="minor">
          <a:schemeClr val="tx1"/>
        </a:fontRef>
      </xdr:style>
    </xdr:cxn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5:I36" totalsRowCount="1" headerRowDxfId="30" dataDxfId="29">
  <sortState xmlns:xlrd2="http://schemas.microsoft.com/office/spreadsheetml/2017/richdata2" ref="A6:I35">
    <sortCondition ref="B6"/>
  </sortState>
  <tableColumns count="9">
    <tableColumn id="1" xr3:uid="{00000000-0010-0000-0000-000001000000}" name="Item" totalsRowLabel="Total" dataDxfId="28" totalsRowDxfId="27" dataCellStyle="Normal_Sheet1"/>
    <tableColumn id="2" xr3:uid="{00000000-0010-0000-0000-000002000000}" name="Loc Code" dataDxfId="26" totalsRowDxfId="25"/>
    <tableColumn id="3" xr3:uid="{00000000-0010-0000-0000-000003000000}" name="Installation Location" dataDxfId="24" totalsRowDxfId="23">
      <calculatedColumnFormula>CHOOSE(Table2[[#This Row],[Loc Code]],$K$6,$K$7,$K$8,$K$9,$K$10)</calculatedColumnFormula>
    </tableColumn>
    <tableColumn id="4" xr3:uid="{00000000-0010-0000-0000-000004000000}" name="Qty" dataDxfId="22" totalsRowDxfId="21"/>
    <tableColumn id="5" xr3:uid="{00000000-0010-0000-0000-000005000000}" name="Short Description" dataDxfId="20" totalsRowDxfId="19">
      <calculatedColumnFormula>VLOOKUP(Table2[[#This Row],[Item]],parts[],E$4,FALSE)</calculatedColumnFormula>
    </tableColumn>
    <tableColumn id="11" xr3:uid="{00000000-0010-0000-0000-00000B000000}" name="Category" dataDxfId="18" totalsRowDxfId="17">
      <calculatedColumnFormula>VLOOKUP(Table2[[#This Row],[Item]],parts[],F$4,FALSE)</calculatedColumnFormula>
    </tableColumn>
    <tableColumn id="6" xr3:uid="{00000000-0010-0000-0000-000006000000}" name="Retail Price" dataDxfId="16" totalsRowDxfId="15">
      <calculatedColumnFormula>VLOOKUP(Table2[[#This Row],[Item]],parts[],G$4,FALSE)</calculatedColumnFormula>
    </tableColumn>
    <tableColumn id="8" xr3:uid="{00000000-0010-0000-0000-000008000000}" name="Discount" dataDxfId="14" totalsRowDxfId="13" dataCellStyle="Percent">
      <calculatedColumnFormula>INDEX(Discounts,MATCH(Table2[[#This Row],[Category]],Discount_Categories,0),$I$4)</calculatedColumnFormula>
    </tableColumn>
    <tableColumn id="9" xr3:uid="{00000000-0010-0000-0000-000009000000}" name="Cost" totalsRowFunction="sum" dataDxfId="12" totalsRowDxfId="11">
      <calculatedColumnFormula>Table2[[#This Row],[Retail Price]]*(1-H6)</calculatedColumnFormula>
    </tableColumn>
  </tableColumns>
  <tableStyleInfo name="TableStyleLight1" showFirstColumn="1"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parts" displayName="parts" ref="A3:E1254" totalsRowShown="0" headerRowBorderDxfId="10" tableBorderDxfId="9" totalsRowBorderDxfId="8">
  <autoFilter ref="A3:E1254" xr:uid="{00000000-0009-0000-0100-000001000000}"/>
  <tableColumns count="5">
    <tableColumn id="1" xr3:uid="{00000000-0010-0000-0100-000001000000}" name="Item Code" dataDxfId="7" dataCellStyle="Normal_Sheet1"/>
    <tableColumn id="2" xr3:uid="{00000000-0010-0000-0100-000002000000}" name="Long Description" dataDxfId="6" dataCellStyle="Normal_Sheet1"/>
    <tableColumn id="3" xr3:uid="{00000000-0010-0000-0100-000003000000}" name="Short Description" dataDxfId="5" dataCellStyle="Normal_Sheet1"/>
    <tableColumn id="4" xr3:uid="{00000000-0010-0000-0100-000004000000}" name="Retail Price" dataDxfId="4"/>
    <tableColumn id="5" xr3:uid="{00000000-0010-0000-0100-000005000000}" name="Category" dataDxfId="3" dataCellStyle="Normal_Sheet1">
      <calculatedColumnFormula>VLOOKUP(D4,$G$4:$H$7,2)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6"/>
  <sheetViews>
    <sheetView showGridLines="0" tabSelected="1" zoomScale="110" zoomScaleNormal="110" workbookViewId="0"/>
  </sheetViews>
  <sheetFormatPr defaultColWidth="8.88671875" defaultRowHeight="13.8" x14ac:dyDescent="0.3"/>
  <cols>
    <col min="1" max="1" width="14.109375" style="1" customWidth="1"/>
    <col min="2" max="2" width="9.109375" style="3" customWidth="1"/>
    <col min="3" max="3" width="15.44140625" style="1" customWidth="1"/>
    <col min="4" max="4" width="5.88671875" style="3" customWidth="1"/>
    <col min="5" max="5" width="32" style="1" customWidth="1"/>
    <col min="6" max="6" width="7.6640625" style="3" bestFit="1" customWidth="1"/>
    <col min="7" max="7" width="12.33203125" style="6" customWidth="1"/>
    <col min="8" max="9" width="12.33203125" style="10" customWidth="1"/>
    <col min="10" max="10" width="3.6640625" style="18" customWidth="1"/>
    <col min="11" max="11" width="19.109375" style="1" customWidth="1"/>
    <col min="12" max="12" width="12.109375" style="1" customWidth="1"/>
    <col min="13" max="16384" width="8.88671875" style="1"/>
  </cols>
  <sheetData>
    <row r="1" spans="1:12" ht="26.7" customHeight="1" x14ac:dyDescent="0.3">
      <c r="A1" s="17" t="s">
        <v>2377</v>
      </c>
      <c r="I1" s="16"/>
    </row>
    <row r="2" spans="1:12" customFormat="1" ht="13.2" x14ac:dyDescent="0.25">
      <c r="A2" s="5"/>
      <c r="B2" s="5"/>
      <c r="C2" s="5"/>
      <c r="D2" s="5"/>
      <c r="E2" s="5"/>
      <c r="F2" s="5"/>
      <c r="G2" s="5"/>
      <c r="H2" s="5"/>
      <c r="I2" s="5"/>
      <c r="J2" s="5"/>
    </row>
    <row r="3" spans="1:12" ht="22.35" customHeight="1" x14ac:dyDescent="0.3">
      <c r="A3" s="40" t="s">
        <v>2366</v>
      </c>
      <c r="B3" s="69" t="s">
        <v>2367</v>
      </c>
      <c r="C3" s="69"/>
      <c r="D3" s="69"/>
      <c r="E3" s="13"/>
      <c r="F3" s="14"/>
      <c r="G3" s="70" t="s">
        <v>2368</v>
      </c>
      <c r="H3" s="70"/>
      <c r="I3" s="15" t="s">
        <v>2372</v>
      </c>
      <c r="K3" s="71" t="s">
        <v>2375</v>
      </c>
      <c r="L3" s="71"/>
    </row>
    <row r="4" spans="1:12" x14ac:dyDescent="0.3">
      <c r="A4" s="18"/>
      <c r="B4" s="19"/>
      <c r="C4" s="18"/>
      <c r="D4" s="19"/>
      <c r="E4" s="68">
        <f>MATCH(Table2[[#Headers],[Short Description]],parts[#Headers],)</f>
        <v>3</v>
      </c>
      <c r="F4" s="68">
        <f>MATCH(Table2[[#Headers],[Category]],parts[#Headers],)</f>
        <v>5</v>
      </c>
      <c r="G4" s="68">
        <f>MATCH(Table2[[#Headers],[Retail Price]],parts[#Headers],)</f>
        <v>4</v>
      </c>
      <c r="H4" s="20"/>
      <c r="I4" s="20">
        <f>MATCH(I3,Customer_Categories,0)</f>
        <v>4</v>
      </c>
    </row>
    <row r="5" spans="1:12" s="7" customFormat="1" ht="24.9" customHeight="1" x14ac:dyDescent="0.25">
      <c r="A5" s="7" t="s">
        <v>522</v>
      </c>
      <c r="B5" s="8" t="s">
        <v>2360</v>
      </c>
      <c r="C5" s="7" t="s">
        <v>2380</v>
      </c>
      <c r="D5" s="8" t="s">
        <v>2363</v>
      </c>
      <c r="E5" s="7" t="s">
        <v>2359</v>
      </c>
      <c r="F5" s="8" t="s">
        <v>495</v>
      </c>
      <c r="G5" s="11" t="s">
        <v>2361</v>
      </c>
      <c r="H5" s="9" t="s">
        <v>2362</v>
      </c>
      <c r="I5" s="24" t="s">
        <v>598</v>
      </c>
      <c r="J5" s="29"/>
      <c r="K5" s="22" t="s">
        <v>2380</v>
      </c>
      <c r="L5" s="26" t="s">
        <v>2364</v>
      </c>
    </row>
    <row r="6" spans="1:12" x14ac:dyDescent="0.3">
      <c r="A6" s="4" t="s">
        <v>1028</v>
      </c>
      <c r="B6" s="3">
        <v>1</v>
      </c>
      <c r="C6" s="1" t="str">
        <f>CHOOSE(Table2[[#This Row],[Loc Code]],$K$6,$K$7,$K$8,$K$9,$K$10)</f>
        <v>building core</v>
      </c>
      <c r="D6" s="3">
        <v>2</v>
      </c>
      <c r="E6" s="1" t="str">
        <f>VLOOKUP(Table2[[#This Row],[Item]],parts[],E$4,FALSE)</f>
        <v>FSX 800 chassis bundle includes 1xFI-SX800-S, 2xSX-FISF, 1xSX-ACPWR-SYS, 9xSX-FI-IFPNL, 3xSX-PWR-PNL, &amp; 1xSX-SX800-FAN</v>
      </c>
      <c r="F6" s="3" t="str">
        <f>VLOOKUP(Table2[[#This Row],[Item]],parts[],F$4,FALSE)</f>
        <v>C</v>
      </c>
      <c r="G6" s="23">
        <f>VLOOKUP(Table2[[#This Row],[Item]],parts[],G$4,FALSE)</f>
        <v>19795</v>
      </c>
      <c r="H6" s="27">
        <f>INDEX(Discounts,MATCH(Table2[[#This Row],[Category]],Discount_Categories,0),$I$4)</f>
        <v>0.115</v>
      </c>
      <c r="I6" s="25">
        <f>Table2[[#This Row],[Retail Price]]*(1-H6)</f>
        <v>17518.575000000001</v>
      </c>
      <c r="K6" s="1" t="s">
        <v>1979</v>
      </c>
      <c r="L6" s="6">
        <f>SUMIFS(Table2[Cost],Table2[Installation Location],K6)</f>
        <v>38708.125000000007</v>
      </c>
    </row>
    <row r="7" spans="1:12" x14ac:dyDescent="0.3">
      <c r="A7" s="2" t="s">
        <v>1054</v>
      </c>
      <c r="B7" s="3">
        <v>1</v>
      </c>
      <c r="C7" s="1" t="str">
        <f>CHOOSE(Table2[[#This Row],[Loc Code]],$K$6,$K$7,$K$8,$K$9,$K$10)</f>
        <v>building core</v>
      </c>
      <c r="D7" s="3">
        <v>2</v>
      </c>
      <c r="E7" s="1" t="str">
        <f>VLOOKUP(Table2[[#This Row],[Item]],parts[],E$4,FALSE)</f>
        <v>90-240 VAC power supply for the FastTRON SuperX family</v>
      </c>
      <c r="F7" s="3" t="str">
        <f>VLOOKUP(Table2[[#This Row],[Item]],parts[],F$4,FALSE)</f>
        <v>B</v>
      </c>
      <c r="G7" s="23">
        <f>VLOOKUP(Table2[[#This Row],[Item]],parts[],G$4,FALSE)</f>
        <v>1645</v>
      </c>
      <c r="H7" s="27">
        <f>INDEX(Discounts,MATCH(Table2[[#This Row],[Category]],Discount_Categories,0),$I$4)</f>
        <v>0.10500000000000001</v>
      </c>
      <c r="I7" s="25">
        <f>Table2[[#This Row],[Retail Price]]*(1-H7)</f>
        <v>1472.2750000000001</v>
      </c>
      <c r="K7" s="1" t="s">
        <v>1980</v>
      </c>
      <c r="L7" s="6">
        <f>SUMIFS(Table2[Cost],Table2[Installation Location],K7)</f>
        <v>49576.375000000007</v>
      </c>
    </row>
    <row r="8" spans="1:12" x14ac:dyDescent="0.3">
      <c r="A8" s="4" t="s">
        <v>1041</v>
      </c>
      <c r="B8" s="3">
        <v>1</v>
      </c>
      <c r="C8" s="1" t="str">
        <f>CHOOSE(Table2[[#This Row],[Loc Code]],$K$6,$K$7,$K$8,$K$9,$K$10)</f>
        <v>building core</v>
      </c>
      <c r="D8" s="3">
        <v>2</v>
      </c>
      <c r="E8" s="1" t="str">
        <f>VLOOKUP(Table2[[#This Row],[Item]],parts[],E$4,FALSE)</f>
        <v>M3 for the FSX 800 and the FSX 1600 with zero-port</v>
      </c>
      <c r="F8" s="3" t="str">
        <f>VLOOKUP(Table2[[#This Row],[Item]],parts[],F$4,FALSE)</f>
        <v>B</v>
      </c>
      <c r="G8" s="23">
        <f>VLOOKUP(Table2[[#This Row],[Item]],parts[],G$4,FALSE)</f>
        <v>6595</v>
      </c>
      <c r="H8" s="27">
        <f>INDEX(Discounts,MATCH(Table2[[#This Row],[Category]],Discount_Categories,0),$I$4)</f>
        <v>0.10500000000000001</v>
      </c>
      <c r="I8" s="25">
        <f>Table2[[#This Row],[Retail Price]]*(1-H8)</f>
        <v>5902.5250000000005</v>
      </c>
      <c r="K8" s="1" t="s">
        <v>1978</v>
      </c>
      <c r="L8" s="6">
        <f>SUMIFS(Table2[Cost],Table2[Installation Location],K8)</f>
        <v>16850.3</v>
      </c>
    </row>
    <row r="9" spans="1:12" x14ac:dyDescent="0.3">
      <c r="A9" s="4" t="s">
        <v>1046</v>
      </c>
      <c r="B9" s="3">
        <v>1</v>
      </c>
      <c r="C9" s="1" t="str">
        <f>CHOOSE(Table2[[#This Row],[Loc Code]],$K$6,$K$7,$K$8,$K$9,$K$10)</f>
        <v>building core</v>
      </c>
      <c r="D9" s="3">
        <v>4</v>
      </c>
      <c r="E9" s="1" t="str">
        <f>VLOOKUP(Table2[[#This Row],[Item]],parts[],E$4,FALSE)</f>
        <v>2-port CX4 FISX module bundle</v>
      </c>
      <c r="F9" s="3" t="str">
        <f>VLOOKUP(Table2[[#This Row],[Item]],parts[],F$4,FALSE)</f>
        <v>B</v>
      </c>
      <c r="G9" s="23">
        <f>VLOOKUP(Table2[[#This Row],[Item]],parts[],G$4,FALSE)</f>
        <v>7255</v>
      </c>
      <c r="H9" s="27">
        <f>INDEX(Discounts,MATCH(Table2[[#This Row],[Category]],Discount_Categories,0),$I$4)</f>
        <v>0.10500000000000001</v>
      </c>
      <c r="I9" s="25">
        <f>Table2[[#This Row],[Retail Price]]*(1-H9)</f>
        <v>6493.2250000000004</v>
      </c>
      <c r="K9" s="1" t="s">
        <v>1977</v>
      </c>
      <c r="L9" s="6">
        <f>SUMIFS(Table2[Cost],Table2[Installation Location],K9)</f>
        <v>10565.475</v>
      </c>
    </row>
    <row r="10" spans="1:12" x14ac:dyDescent="0.3">
      <c r="A10" s="2" t="s">
        <v>1047</v>
      </c>
      <c r="B10" s="3">
        <v>1</v>
      </c>
      <c r="C10" s="1" t="str">
        <f>CHOOSE(Table2[[#This Row],[Loc Code]],$K$6,$K$7,$K$8,$K$9,$K$10)</f>
        <v>building core</v>
      </c>
      <c r="D10" s="3">
        <v>6</v>
      </c>
      <c r="E10" s="1" t="str">
        <f>VLOOKUP(Table2[[#This Row],[Item]],parts[],E$4,FALSE)</f>
        <v>24-port 10/100/1000 Gigabit Ethernet module for FastTRON SuperX family</v>
      </c>
      <c r="F10" s="3" t="str">
        <f>VLOOKUP(Table2[[#This Row],[Item]],parts[],F$4,FALSE)</f>
        <v>B</v>
      </c>
      <c r="G10" s="23">
        <f>VLOOKUP(Table2[[#This Row],[Item]],parts[],G$4,FALSE)</f>
        <v>3845</v>
      </c>
      <c r="H10" s="27">
        <f>INDEX(Discounts,MATCH(Table2[[#This Row],[Category]],Discount_Categories,0),$I$4)</f>
        <v>0.10500000000000001</v>
      </c>
      <c r="I10" s="25">
        <f>Table2[[#This Row],[Retail Price]]*(1-H10)</f>
        <v>3441.2750000000001</v>
      </c>
      <c r="K10" s="1" t="s">
        <v>1976</v>
      </c>
      <c r="L10" s="6">
        <f>SUMIFS(Table2[Cost],Table2[Installation Location],K10)</f>
        <v>2940.5</v>
      </c>
    </row>
    <row r="11" spans="1:12" ht="15" thickBot="1" x14ac:dyDescent="0.35">
      <c r="A11" s="2" t="s">
        <v>1062</v>
      </c>
      <c r="B11" s="3">
        <v>1</v>
      </c>
      <c r="C11" s="1" t="str">
        <f>CHOOSE(Table2[[#This Row],[Loc Code]],$K$6,$K$7,$K$8,$K$9,$K$10)</f>
        <v>building core</v>
      </c>
      <c r="D11" s="3">
        <v>12</v>
      </c>
      <c r="E11" s="1" t="str">
        <f>VLOOKUP(Table2[[#This Row],[Item]],parts[],E$4,FALSE)</f>
        <v>10GbE LR XFP, SMF, LC</v>
      </c>
      <c r="F11" s="3" t="str">
        <f>VLOOKUP(Table2[[#This Row],[Item]],parts[],F$4,FALSE)</f>
        <v>B</v>
      </c>
      <c r="G11" s="23">
        <f>VLOOKUP(Table2[[#This Row],[Item]],parts[],G$4,FALSE)</f>
        <v>2745</v>
      </c>
      <c r="H11" s="27">
        <f>INDEX(Discounts,MATCH(Table2[[#This Row],[Category]],Discount_Categories,0),$I$4)</f>
        <v>0.10500000000000001</v>
      </c>
      <c r="I11" s="25">
        <f>Table2[[#This Row],[Retail Price]]*(1-H11)</f>
        <v>2456.7750000000001</v>
      </c>
      <c r="K11" s="12" t="s">
        <v>2365</v>
      </c>
      <c r="L11" s="21">
        <f>SUM(L6:L10)</f>
        <v>118640.77500000002</v>
      </c>
    </row>
    <row r="12" spans="1:12" ht="14.4" thickTop="1" x14ac:dyDescent="0.3">
      <c r="A12" s="2" t="s">
        <v>1105</v>
      </c>
      <c r="B12" s="3">
        <v>1</v>
      </c>
      <c r="C12" s="1" t="str">
        <f>CHOOSE(Table2[[#This Row],[Loc Code]],$K$6,$K$7,$K$8,$K$9,$K$10)</f>
        <v>building core</v>
      </c>
      <c r="D12" s="3">
        <v>6</v>
      </c>
      <c r="E12" s="1" t="str">
        <f>VLOOKUP(Table2[[#This Row],[Item]],parts[],E$4,FALSE)</f>
        <v>LX SMF SFP</v>
      </c>
      <c r="F12" s="3" t="str">
        <f>VLOOKUP(Table2[[#This Row],[Item]],parts[],F$4,FALSE)</f>
        <v>B</v>
      </c>
      <c r="G12" s="23">
        <f>VLOOKUP(Table2[[#This Row],[Item]],parts[],G$4,FALSE)</f>
        <v>1095</v>
      </c>
      <c r="H12" s="27">
        <f>INDEX(Discounts,MATCH(Table2[[#This Row],[Category]],Discount_Categories,0),$I$4)</f>
        <v>0.10500000000000001</v>
      </c>
      <c r="I12" s="25">
        <f>Table2[[#This Row],[Retail Price]]*(1-H12)</f>
        <v>980.02499999999998</v>
      </c>
    </row>
    <row r="13" spans="1:12" x14ac:dyDescent="0.3">
      <c r="A13" s="2" t="s">
        <v>1106</v>
      </c>
      <c r="B13" s="3">
        <v>1</v>
      </c>
      <c r="C13" s="1" t="str">
        <f>CHOOSE(Table2[[#This Row],[Loc Code]],$K$6,$K$7,$K$8,$K$9,$K$10)</f>
        <v>building core</v>
      </c>
      <c r="D13" s="3">
        <v>8</v>
      </c>
      <c r="E13" s="1" t="str">
        <f>VLOOKUP(Table2[[#This Row],[Item]],parts[],E$4,FALSE)</f>
        <v>SX MMF SFP</v>
      </c>
      <c r="F13" s="3" t="str">
        <f>VLOOKUP(Table2[[#This Row],[Item]],parts[],F$4,FALSE)</f>
        <v>A</v>
      </c>
      <c r="G13" s="23">
        <f>VLOOKUP(Table2[[#This Row],[Item]],parts[],G$4,FALSE)</f>
        <v>490</v>
      </c>
      <c r="H13" s="27">
        <f>INDEX(Discounts,MATCH(Table2[[#This Row],[Category]],Discount_Categories,0),$I$4)</f>
        <v>9.5000000000000001E-2</v>
      </c>
      <c r="I13" s="25">
        <f>Table2[[#This Row],[Retail Price]]*(1-H13)</f>
        <v>443.45</v>
      </c>
    </row>
    <row r="14" spans="1:12" x14ac:dyDescent="0.3">
      <c r="A14" s="4" t="s">
        <v>1028</v>
      </c>
      <c r="B14" s="3">
        <v>2</v>
      </c>
      <c r="C14" s="1" t="str">
        <f>CHOOSE(Table2[[#This Row],[Loc Code]],$K$6,$K$7,$K$8,$K$9,$K$10)</f>
        <v>data centre</v>
      </c>
      <c r="D14" s="3">
        <v>2</v>
      </c>
      <c r="E14" s="1" t="str">
        <f>VLOOKUP(Table2[[#This Row],[Item]],parts[],E$4,FALSE)</f>
        <v>FSX 800 chassis bundle includes 1xFI-SX800-S, 2xSX-FISF, 1xSX-ACPWR-SYS, 9xSX-FI-IFPNL, 3xSX-PWR-PNL, &amp; 1xSX-SX800-FAN</v>
      </c>
      <c r="F14" s="3" t="str">
        <f>VLOOKUP(Table2[[#This Row],[Item]],parts[],F$4,FALSE)</f>
        <v>C</v>
      </c>
      <c r="G14" s="23">
        <f>VLOOKUP(Table2[[#This Row],[Item]],parts[],G$4,FALSE)</f>
        <v>19795</v>
      </c>
      <c r="H14" s="27">
        <f>INDEX(Discounts,MATCH(Table2[[#This Row],[Category]],Discount_Categories,0),$I$4)</f>
        <v>0.115</v>
      </c>
      <c r="I14" s="25">
        <f>Table2[[#This Row],[Retail Price]]*(1-H14)</f>
        <v>17518.575000000001</v>
      </c>
    </row>
    <row r="15" spans="1:12" x14ac:dyDescent="0.3">
      <c r="A15" s="2" t="s">
        <v>1036</v>
      </c>
      <c r="B15" s="3">
        <v>2</v>
      </c>
      <c r="C15" s="1" t="str">
        <f>CHOOSE(Table2[[#This Row],[Loc Code]],$K$6,$K$7,$K$8,$K$9,$K$10)</f>
        <v>data centre</v>
      </c>
      <c r="D15" s="3">
        <v>2</v>
      </c>
      <c r="E15" s="1" t="str">
        <f>VLOOKUP(Table2[[#This Row],[Item]],parts[],E$4,FALSE)</f>
        <v>Full Layer 3 Upgrade Kit for the FastTRON SuperX family. Software includes advanced Layer 2 and full Layer 3 services (BGP-4, OSPF, RIP, VRRP, VRRPE, DVMRP, PIM-SM and PIM-DM).</v>
      </c>
      <c r="F15" s="3" t="str">
        <f>VLOOKUP(Table2[[#This Row],[Item]],parts[],F$4,FALSE)</f>
        <v>C</v>
      </c>
      <c r="G15" s="23">
        <f>VLOOKUP(Table2[[#This Row],[Item]],parts[],G$4,FALSE)</f>
        <v>10995</v>
      </c>
      <c r="H15" s="27">
        <f>INDEX(Discounts,MATCH(Table2[[#This Row],[Category]],Discount_Categories,0),$I$4)</f>
        <v>0.115</v>
      </c>
      <c r="I15" s="25">
        <f>Table2[[#This Row],[Retail Price]]*(1-H15)</f>
        <v>9730.5750000000007</v>
      </c>
    </row>
    <row r="16" spans="1:12" x14ac:dyDescent="0.3">
      <c r="A16" s="2" t="s">
        <v>1037</v>
      </c>
      <c r="B16" s="3">
        <v>2</v>
      </c>
      <c r="C16" s="1" t="str">
        <f>CHOOSE(Table2[[#This Row],[Loc Code]],$K$6,$K$7,$K$8,$K$9,$K$10)</f>
        <v>data centre</v>
      </c>
      <c r="D16" s="3">
        <v>2</v>
      </c>
      <c r="E16" s="1" t="str">
        <f>VLOOKUP(Table2[[#This Row],[Item]],parts[],E$4,FALSE)</f>
        <v>FastTRON SuperX Management-1 module with 12 combo copper / fiber Gigabit Ethernet ports (10/100/1000 Mbps (RJ45) or Gigabit Ethernet Fiber (SFP) connectivity per port), 400 MHz processor and 256 MB SDRAM.  Software includes advanced Layer 2 and Base Layer 3 services (static routes and RIP advertisement).</v>
      </c>
      <c r="F16" s="3" t="str">
        <f>VLOOKUP(Table2[[#This Row],[Item]],parts[],F$4,FALSE)</f>
        <v>B</v>
      </c>
      <c r="G16" s="23">
        <f>VLOOKUP(Table2[[#This Row],[Item]],parts[],G$4,FALSE)</f>
        <v>9895</v>
      </c>
      <c r="H16" s="27">
        <f>INDEX(Discounts,MATCH(Table2[[#This Row],[Category]],Discount_Categories,0),$I$4)</f>
        <v>0.10500000000000001</v>
      </c>
      <c r="I16" s="25">
        <f>Table2[[#This Row],[Retail Price]]*(1-H16)</f>
        <v>8856.0249999999996</v>
      </c>
    </row>
    <row r="17" spans="1:9" x14ac:dyDescent="0.3">
      <c r="A17" s="2" t="s">
        <v>1048</v>
      </c>
      <c r="B17" s="3">
        <v>2</v>
      </c>
      <c r="C17" s="1" t="str">
        <f>CHOOSE(Table2[[#This Row],[Loc Code]],$K$6,$K$7,$K$8,$K$9,$K$10)</f>
        <v>data centre</v>
      </c>
      <c r="D17" s="3">
        <v>4</v>
      </c>
      <c r="E17" s="1" t="str">
        <f>VLOOKUP(Table2[[#This Row],[Item]],parts[],E$4,FALSE)</f>
        <v>24-port 10/100/1000 Gigabit Ethernet with POE installed module for FastTRON SuperX family</v>
      </c>
      <c r="F17" s="3" t="str">
        <f>VLOOKUP(Table2[[#This Row],[Item]],parts[],F$4,FALSE)</f>
        <v>B</v>
      </c>
      <c r="G17" s="23">
        <f>VLOOKUP(Table2[[#This Row],[Item]],parts[],G$4,FALSE)</f>
        <v>4395</v>
      </c>
      <c r="H17" s="27">
        <f>INDEX(Discounts,MATCH(Table2[[#This Row],[Category]],Discount_Categories,0),$I$4)</f>
        <v>0.10500000000000001</v>
      </c>
      <c r="I17" s="25">
        <f>Table2[[#This Row],[Retail Price]]*(1-H17)</f>
        <v>3933.5250000000001</v>
      </c>
    </row>
    <row r="18" spans="1:9" x14ac:dyDescent="0.3">
      <c r="A18" s="2" t="s">
        <v>1051</v>
      </c>
      <c r="B18" s="3">
        <v>2</v>
      </c>
      <c r="C18" s="1" t="str">
        <f>CHOOSE(Table2[[#This Row],[Loc Code]],$K$6,$K$7,$K$8,$K$9,$K$10)</f>
        <v>data centre</v>
      </c>
      <c r="D18" s="3">
        <v>6</v>
      </c>
      <c r="E18" s="1" t="str">
        <f>VLOOKUP(Table2[[#This Row],[Item]],parts[],E$4,FALSE)</f>
        <v>2-port XFP 10 Gigabit Ethernet module for FastTRON SuperX family</v>
      </c>
      <c r="F18" s="3" t="str">
        <f>VLOOKUP(Table2[[#This Row],[Item]],parts[],F$4,FALSE)</f>
        <v>B</v>
      </c>
      <c r="G18" s="23">
        <f>VLOOKUP(Table2[[#This Row],[Item]],parts[],G$4,FALSE)</f>
        <v>5495</v>
      </c>
      <c r="H18" s="27">
        <f>INDEX(Discounts,MATCH(Table2[[#This Row],[Category]],Discount_Categories,0),$I$4)</f>
        <v>0.10500000000000001</v>
      </c>
      <c r="I18" s="25">
        <f>Table2[[#This Row],[Retail Price]]*(1-H18)</f>
        <v>4918.0250000000005</v>
      </c>
    </row>
    <row r="19" spans="1:9" x14ac:dyDescent="0.3">
      <c r="A19" s="2" t="s">
        <v>1053</v>
      </c>
      <c r="B19" s="3">
        <v>2</v>
      </c>
      <c r="C19" s="1" t="str">
        <f>CHOOSE(Table2[[#This Row],[Loc Code]],$K$6,$K$7,$K$8,$K$9,$K$10)</f>
        <v>data centre</v>
      </c>
      <c r="D19" s="3">
        <v>6</v>
      </c>
      <c r="E19" s="1" t="str">
        <f>VLOOKUP(Table2[[#This Row],[Item]],parts[],E$4,FALSE)</f>
        <v>POE Add-in Card for 24-port 10/100/1000 modules (Part # SX-FI424C)</v>
      </c>
      <c r="F19" s="3" t="str">
        <f>VLOOKUP(Table2[[#This Row],[Item]],parts[],F$4,FALSE)</f>
        <v>A</v>
      </c>
      <c r="G19" s="23">
        <f>VLOOKUP(Table2[[#This Row],[Item]],parts[],G$4,FALSE)</f>
        <v>550</v>
      </c>
      <c r="H19" s="27">
        <f>INDEX(Discounts,MATCH(Table2[[#This Row],[Category]],Discount_Categories,0),$I$4)</f>
        <v>9.5000000000000001E-2</v>
      </c>
      <c r="I19" s="25">
        <f>Table2[[#This Row],[Retail Price]]*(1-H19)</f>
        <v>497.75</v>
      </c>
    </row>
    <row r="20" spans="1:9" x14ac:dyDescent="0.3">
      <c r="A20" s="2" t="s">
        <v>1054</v>
      </c>
      <c r="B20" s="3">
        <v>2</v>
      </c>
      <c r="C20" s="1" t="str">
        <f>CHOOSE(Table2[[#This Row],[Loc Code]],$K$6,$K$7,$K$8,$K$9,$K$10)</f>
        <v>data centre</v>
      </c>
      <c r="D20" s="3">
        <v>2</v>
      </c>
      <c r="E20" s="1" t="str">
        <f>VLOOKUP(Table2[[#This Row],[Item]],parts[],E$4,FALSE)</f>
        <v>90-240 VAC power supply for the FastTRON SuperX family</v>
      </c>
      <c r="F20" s="3" t="str">
        <f>VLOOKUP(Table2[[#This Row],[Item]],parts[],F$4,FALSE)</f>
        <v>B</v>
      </c>
      <c r="G20" s="23">
        <f>VLOOKUP(Table2[[#This Row],[Item]],parts[],G$4,FALSE)</f>
        <v>1645</v>
      </c>
      <c r="H20" s="27">
        <f>INDEX(Discounts,MATCH(Table2[[#This Row],[Category]],Discount_Categories,0),$I$4)</f>
        <v>0.10500000000000001</v>
      </c>
      <c r="I20" s="25">
        <f>Table2[[#This Row],[Retail Price]]*(1-H20)</f>
        <v>1472.2750000000001</v>
      </c>
    </row>
    <row r="21" spans="1:9" x14ac:dyDescent="0.3">
      <c r="A21" s="2" t="s">
        <v>1061</v>
      </c>
      <c r="B21" s="3">
        <v>2</v>
      </c>
      <c r="C21" s="1" t="str">
        <f>CHOOSE(Table2[[#This Row],[Loc Code]],$K$6,$K$7,$K$8,$K$9,$K$10)</f>
        <v>data centre</v>
      </c>
      <c r="D21" s="3">
        <v>12</v>
      </c>
      <c r="E21" s="1" t="str">
        <f>VLOOKUP(Table2[[#This Row],[Item]],parts[],E$4,FALSE)</f>
        <v>10GbE SR XFP, MMF, LC</v>
      </c>
      <c r="F21" s="3" t="str">
        <f>VLOOKUP(Table2[[#This Row],[Item]],parts[],F$4,FALSE)</f>
        <v>B</v>
      </c>
      <c r="G21" s="23">
        <f>VLOOKUP(Table2[[#This Row],[Item]],parts[],G$4,FALSE)</f>
        <v>1370</v>
      </c>
      <c r="H21" s="27">
        <f>INDEX(Discounts,MATCH(Table2[[#This Row],[Category]],Discount_Categories,0),$I$4)</f>
        <v>0.10500000000000001</v>
      </c>
      <c r="I21" s="25">
        <f>Table2[[#This Row],[Retail Price]]*(1-H21)</f>
        <v>1226.1500000000001</v>
      </c>
    </row>
    <row r="22" spans="1:9" x14ac:dyDescent="0.3">
      <c r="A22" s="2" t="s">
        <v>1105</v>
      </c>
      <c r="B22" s="3">
        <v>2</v>
      </c>
      <c r="C22" s="1" t="str">
        <f>CHOOSE(Table2[[#This Row],[Loc Code]],$K$6,$K$7,$K$8,$K$9,$K$10)</f>
        <v>data centre</v>
      </c>
      <c r="D22" s="3">
        <v>10</v>
      </c>
      <c r="E22" s="1" t="str">
        <f>VLOOKUP(Table2[[#This Row],[Item]],parts[],E$4,FALSE)</f>
        <v>LX SMF SFP</v>
      </c>
      <c r="F22" s="3" t="str">
        <f>VLOOKUP(Table2[[#This Row],[Item]],parts[],F$4,FALSE)</f>
        <v>B</v>
      </c>
      <c r="G22" s="23">
        <f>VLOOKUP(Table2[[#This Row],[Item]],parts[],G$4,FALSE)</f>
        <v>1095</v>
      </c>
      <c r="H22" s="27">
        <f>INDEX(Discounts,MATCH(Table2[[#This Row],[Category]],Discount_Categories,0),$I$4)</f>
        <v>0.10500000000000001</v>
      </c>
      <c r="I22" s="25">
        <f>Table2[[#This Row],[Retail Price]]*(1-H22)</f>
        <v>980.02499999999998</v>
      </c>
    </row>
    <row r="23" spans="1:9" x14ac:dyDescent="0.3">
      <c r="A23" s="2" t="s">
        <v>1106</v>
      </c>
      <c r="B23" s="3">
        <v>2</v>
      </c>
      <c r="C23" s="1" t="str">
        <f>CHOOSE(Table2[[#This Row],[Loc Code]],$K$6,$K$7,$K$8,$K$9,$K$10)</f>
        <v>data centre</v>
      </c>
      <c r="D23" s="3">
        <v>14</v>
      </c>
      <c r="E23" s="1" t="str">
        <f>VLOOKUP(Table2[[#This Row],[Item]],parts[],E$4,FALSE)</f>
        <v>SX MMF SFP</v>
      </c>
      <c r="F23" s="3" t="str">
        <f>VLOOKUP(Table2[[#This Row],[Item]],parts[],F$4,FALSE)</f>
        <v>A</v>
      </c>
      <c r="G23" s="23">
        <f>VLOOKUP(Table2[[#This Row],[Item]],parts[],G$4,FALSE)</f>
        <v>490</v>
      </c>
      <c r="H23" s="27">
        <f>INDEX(Discounts,MATCH(Table2[[#This Row],[Category]],Discount_Categories,0),$I$4)</f>
        <v>9.5000000000000001E-2</v>
      </c>
      <c r="I23" s="25">
        <f>Table2[[#This Row],[Retail Price]]*(1-H23)</f>
        <v>443.45</v>
      </c>
    </row>
    <row r="24" spans="1:9" x14ac:dyDescent="0.3">
      <c r="A24" s="2" t="s">
        <v>845</v>
      </c>
      <c r="B24" s="3">
        <v>3</v>
      </c>
      <c r="C24" s="1" t="str">
        <f>CHOOSE(Table2[[#This Row],[Loc Code]],$K$6,$K$7,$K$8,$K$9,$K$10)</f>
        <v>fibre distribution</v>
      </c>
      <c r="D24" s="3">
        <v>2</v>
      </c>
      <c r="E24" s="1" t="str">
        <f>VLOOKUP(Table2[[#This Row],[Item]],parts[],E$4,FALSE)</f>
        <v>FES-port 100/1000 SFP with 4-port Combo &amp; 1 AC PS.</v>
      </c>
      <c r="F24" s="3" t="str">
        <f>VLOOKUP(Table2[[#This Row],[Item]],parts[],F$4,FALSE)</f>
        <v>C</v>
      </c>
      <c r="G24" s="23">
        <f>VLOOKUP(Table2[[#This Row],[Item]],parts[],G$4,FALSE)</f>
        <v>10995</v>
      </c>
      <c r="H24" s="27">
        <f>INDEX(Discounts,MATCH(Table2[[#This Row],[Category]],Discount_Categories,0),$I$4)</f>
        <v>0.115</v>
      </c>
      <c r="I24" s="25">
        <f>Table2[[#This Row],[Retail Price]]*(1-H24)</f>
        <v>9730.5750000000007</v>
      </c>
    </row>
    <row r="25" spans="1:9" x14ac:dyDescent="0.3">
      <c r="A25" s="2" t="s">
        <v>873</v>
      </c>
      <c r="B25" s="3">
        <v>3</v>
      </c>
      <c r="C25" s="1" t="str">
        <f>CHOOSE(Table2[[#This Row],[Loc Code]],$K$6,$K$7,$K$8,$K$9,$K$10)</f>
        <v>fibre distribution</v>
      </c>
      <c r="D25" s="3">
        <v>2</v>
      </c>
      <c r="E25" s="1" t="str">
        <f>VLOOKUP(Table2[[#This Row],[Item]],parts[],E$4,FALSE)</f>
        <v>RPS (220W) FESX424 only</v>
      </c>
      <c r="F25" s="3" t="str">
        <f>VLOOKUP(Table2[[#This Row],[Item]],parts[],F$4,FALSE)</f>
        <v>B</v>
      </c>
      <c r="G25" s="23">
        <f>VLOOKUP(Table2[[#This Row],[Item]],parts[],G$4,FALSE)</f>
        <v>1095</v>
      </c>
      <c r="H25" s="27">
        <f>INDEX(Discounts,MATCH(Table2[[#This Row],[Category]],Discount_Categories,0),$I$4)</f>
        <v>0.10500000000000001</v>
      </c>
      <c r="I25" s="25">
        <f>Table2[[#This Row],[Retail Price]]*(1-H25)</f>
        <v>980.02499999999998</v>
      </c>
    </row>
    <row r="26" spans="1:9" x14ac:dyDescent="0.3">
      <c r="A26" s="2" t="s">
        <v>870</v>
      </c>
      <c r="B26" s="3">
        <v>3</v>
      </c>
      <c r="C26" s="1" t="str">
        <f>CHOOSE(Table2[[#This Row],[Loc Code]],$K$6,$K$7,$K$8,$K$9,$K$10)</f>
        <v>fibre distribution</v>
      </c>
      <c r="D26" s="3">
        <v>2</v>
      </c>
      <c r="E26" s="1" t="str">
        <f>VLOOKUP(Table2[[#This Row],[Item]],parts[],E$4,FALSE)</f>
        <v>2-port 10GbE XFP module</v>
      </c>
      <c r="F26" s="3" t="str">
        <f>VLOOKUP(Table2[[#This Row],[Item]],parts[],F$4,FALSE)</f>
        <v>B</v>
      </c>
      <c r="G26" s="23">
        <f>VLOOKUP(Table2[[#This Row],[Item]],parts[],G$4,FALSE)</f>
        <v>4395</v>
      </c>
      <c r="H26" s="27">
        <f>INDEX(Discounts,MATCH(Table2[[#This Row],[Category]],Discount_Categories,0),$I$4)</f>
        <v>0.10500000000000001</v>
      </c>
      <c r="I26" s="25">
        <f>Table2[[#This Row],[Retail Price]]*(1-H26)</f>
        <v>3933.5250000000001</v>
      </c>
    </row>
    <row r="27" spans="1:9" x14ac:dyDescent="0.3">
      <c r="A27" s="2" t="s">
        <v>871</v>
      </c>
      <c r="B27" s="3">
        <v>3</v>
      </c>
      <c r="C27" s="1" t="str">
        <f>CHOOSE(Table2[[#This Row],[Loc Code]],$K$6,$K$7,$K$8,$K$9,$K$10)</f>
        <v>fibre distribution</v>
      </c>
      <c r="D27" s="3">
        <v>2</v>
      </c>
      <c r="E27" s="1" t="str">
        <f>VLOOKUP(Table2[[#This Row],[Item]],parts[],E$4,FALSE)</f>
        <v>Layer 3 software upgrade for the FESX424 and the FESX424HF.</v>
      </c>
      <c r="F27" s="3" t="str">
        <f>VLOOKUP(Table2[[#This Row],[Item]],parts[],F$4,FALSE)</f>
        <v>B</v>
      </c>
      <c r="G27" s="23">
        <f>VLOOKUP(Table2[[#This Row],[Item]],parts[],G$4,FALSE)</f>
        <v>1095</v>
      </c>
      <c r="H27" s="27">
        <f>INDEX(Discounts,MATCH(Table2[[#This Row],[Category]],Discount_Categories,0),$I$4)</f>
        <v>0.10500000000000001</v>
      </c>
      <c r="I27" s="25">
        <f>Table2[[#This Row],[Retail Price]]*(1-H27)</f>
        <v>980.02499999999998</v>
      </c>
    </row>
    <row r="28" spans="1:9" x14ac:dyDescent="0.3">
      <c r="A28" s="2" t="s">
        <v>880</v>
      </c>
      <c r="B28" s="3">
        <v>3</v>
      </c>
      <c r="C28" s="1" t="str">
        <f>CHOOSE(Table2[[#This Row],[Loc Code]],$K$6,$K$7,$K$8,$K$9,$K$10)</f>
        <v>fibre distribution</v>
      </c>
      <c r="D28" s="3">
        <v>4</v>
      </c>
      <c r="E28" s="1" t="str">
        <f>VLOOKUP(Table2[[#This Row],[Item]],parts[],E$4,FALSE)</f>
        <v>10GbE SR XFP, MMF, LC</v>
      </c>
      <c r="F28" s="3" t="str">
        <f>VLOOKUP(Table2[[#This Row],[Item]],parts[],F$4,FALSE)</f>
        <v>B</v>
      </c>
      <c r="G28" s="23">
        <f>VLOOKUP(Table2[[#This Row],[Item]],parts[],G$4,FALSE)</f>
        <v>1370</v>
      </c>
      <c r="H28" s="27">
        <f>INDEX(Discounts,MATCH(Table2[[#This Row],[Category]],Discount_Categories,0),$I$4)</f>
        <v>0.10500000000000001</v>
      </c>
      <c r="I28" s="25">
        <f>Table2[[#This Row],[Retail Price]]*(1-H28)</f>
        <v>1226.1500000000001</v>
      </c>
    </row>
    <row r="29" spans="1:9" x14ac:dyDescent="0.3">
      <c r="A29" s="2" t="s">
        <v>739</v>
      </c>
      <c r="B29" s="3">
        <v>4</v>
      </c>
      <c r="C29" s="1" t="str">
        <f>CHOOSE(Table2[[#This Row],[Loc Code]],$K$6,$K$7,$K$8,$K$9,$K$10)</f>
        <v>main floors</v>
      </c>
      <c r="D29" s="3">
        <v>8</v>
      </c>
      <c r="E29" s="1" t="str">
        <f>VLOOKUP(Table2[[#This Row],[Item]],parts[],E$4,FALSE)</f>
        <v xml:space="preserve">FGS624XGP includes 24-port 10/100/1000 that are PoE upgradeable with 4-port 100/1000 Combo copper/fiber, 1-port XFP 10GbE and one RPS. </v>
      </c>
      <c r="F29" s="3" t="str">
        <f>VLOOKUP(Table2[[#This Row],[Item]],parts[],F$4,FALSE)</f>
        <v>B</v>
      </c>
      <c r="G29" s="23">
        <f>VLOOKUP(Table2[[#This Row],[Item]],parts[],G$4,FALSE)</f>
        <v>6045</v>
      </c>
      <c r="H29" s="27">
        <f>INDEX(Discounts,MATCH(Table2[[#This Row],[Category]],Discount_Categories,0),$I$4)</f>
        <v>0.10500000000000001</v>
      </c>
      <c r="I29" s="25">
        <f>Table2[[#This Row],[Retail Price]]*(1-H29)</f>
        <v>5410.2750000000005</v>
      </c>
    </row>
    <row r="30" spans="1:9" x14ac:dyDescent="0.3">
      <c r="A30" s="2" t="s">
        <v>749</v>
      </c>
      <c r="B30" s="3">
        <v>4</v>
      </c>
      <c r="C30" s="1" t="str">
        <f>CHOOSE(Table2[[#This Row],[Loc Code]],$K$6,$K$7,$K$8,$K$9,$K$10)</f>
        <v>main floors</v>
      </c>
      <c r="D30" s="3">
        <v>8</v>
      </c>
      <c r="E30" s="1" t="str">
        <f>VLOOKUP(Table2[[#This Row],[Item]],parts[],E$4,FALSE)</f>
        <v>600W,  AC PS FGS Only</v>
      </c>
      <c r="F30" s="3" t="str">
        <f>VLOOKUP(Table2[[#This Row],[Item]],parts[],F$4,FALSE)</f>
        <v>B</v>
      </c>
      <c r="G30" s="23">
        <f>VLOOKUP(Table2[[#This Row],[Item]],parts[],G$4,FALSE)</f>
        <v>1645</v>
      </c>
      <c r="H30" s="27">
        <f>INDEX(Discounts,MATCH(Table2[[#This Row],[Category]],Discount_Categories,0),$I$4)</f>
        <v>0.10500000000000001</v>
      </c>
      <c r="I30" s="25">
        <f>Table2[[#This Row],[Retail Price]]*(1-H30)</f>
        <v>1472.2750000000001</v>
      </c>
    </row>
    <row r="31" spans="1:9" x14ac:dyDescent="0.3">
      <c r="A31" s="1" t="s">
        <v>746</v>
      </c>
      <c r="B31" s="3">
        <v>4</v>
      </c>
      <c r="C31" s="1" t="str">
        <f>CHOOSE(Table2[[#This Row],[Loc Code]],$K$6,$K$7,$K$8,$K$9,$K$10)</f>
        <v>main floors</v>
      </c>
      <c r="D31" s="3">
        <v>8</v>
      </c>
      <c r="E31" s="1" t="str">
        <f>VLOOKUP(Table2[[#This Row],[Item]],parts[],E$4,FALSE)</f>
        <v>2-port 10GbE XFP module</v>
      </c>
      <c r="F31" s="3" t="str">
        <f>VLOOKUP(Table2[[#This Row],[Item]],parts[],F$4,FALSE)</f>
        <v>B</v>
      </c>
      <c r="G31" s="23">
        <f>VLOOKUP(Table2[[#This Row],[Item]],parts[],G$4,FALSE)</f>
        <v>2745</v>
      </c>
      <c r="H31" s="27">
        <f>INDEX(Discounts,MATCH(Table2[[#This Row],[Category]],Discount_Categories,0),$I$4)</f>
        <v>0.10500000000000001</v>
      </c>
      <c r="I31" s="25">
        <f>Table2[[#This Row],[Retail Price]]*(1-H31)</f>
        <v>2456.7750000000001</v>
      </c>
    </row>
    <row r="32" spans="1:9" x14ac:dyDescent="0.3">
      <c r="A32" s="2" t="s">
        <v>880</v>
      </c>
      <c r="B32" s="3">
        <v>4</v>
      </c>
      <c r="C32" s="1" t="str">
        <f>CHOOSE(Table2[[#This Row],[Loc Code]],$K$6,$K$7,$K$8,$K$9,$K$10)</f>
        <v>main floors</v>
      </c>
      <c r="D32" s="3">
        <v>16</v>
      </c>
      <c r="E32" s="1" t="str">
        <f>VLOOKUP(Table2[[#This Row],[Item]],parts[],E$4,FALSE)</f>
        <v>10GbE SR XFP, MMF, LC</v>
      </c>
      <c r="F32" s="3" t="str">
        <f>VLOOKUP(Table2[[#This Row],[Item]],parts[],F$4,FALSE)</f>
        <v>B</v>
      </c>
      <c r="G32" s="23">
        <f>VLOOKUP(Table2[[#This Row],[Item]],parts[],G$4,FALSE)</f>
        <v>1370</v>
      </c>
      <c r="H32" s="27">
        <f>INDEX(Discounts,MATCH(Table2[[#This Row],[Category]],Discount_Categories,0),$I$4)</f>
        <v>0.10500000000000001</v>
      </c>
      <c r="I32" s="25">
        <f>Table2[[#This Row],[Retail Price]]*(1-H32)</f>
        <v>1226.1500000000001</v>
      </c>
    </row>
    <row r="33" spans="1:9" x14ac:dyDescent="0.3">
      <c r="A33" s="2" t="s">
        <v>602</v>
      </c>
      <c r="B33" s="3">
        <v>5</v>
      </c>
      <c r="C33" s="1" t="str">
        <f>CHOOSE(Table2[[#This Row],[Loc Code]],$K$6,$K$7,$K$8,$K$9,$K$10)</f>
        <v>remote office buildings</v>
      </c>
      <c r="D33" s="3">
        <v>6</v>
      </c>
      <c r="E33" s="1" t="str">
        <f>VLOOKUP(Table2[[#This Row],[Item]],parts[],E$4,FALSE)</f>
        <v>EIF 48 10/100 + 2 Combo GbE</v>
      </c>
      <c r="F33" s="3" t="str">
        <f>VLOOKUP(Table2[[#This Row],[Item]],parts[],F$4,FALSE)</f>
        <v>B</v>
      </c>
      <c r="G33" s="23">
        <f>VLOOKUP(Table2[[#This Row],[Item]],parts[],G$4,FALSE)</f>
        <v>1695</v>
      </c>
      <c r="H33" s="27">
        <f>INDEX(Discounts,MATCH(Table2[[#This Row],[Category]],Discount_Categories,0),$I$4)</f>
        <v>0.10500000000000001</v>
      </c>
      <c r="I33" s="25">
        <f>Table2[[#This Row],[Retail Price]]*(1-H33)</f>
        <v>1517.0250000000001</v>
      </c>
    </row>
    <row r="34" spans="1:9" x14ac:dyDescent="0.3">
      <c r="A34" s="2" t="s">
        <v>653</v>
      </c>
      <c r="B34" s="3">
        <v>5</v>
      </c>
      <c r="C34" s="1" t="str">
        <f>CHOOSE(Table2[[#This Row],[Loc Code]],$K$6,$K$7,$K$8,$K$9,$K$10)</f>
        <v>remote office buildings</v>
      </c>
      <c r="D34" s="3">
        <v>6</v>
      </c>
      <c r="E34" s="1" t="str">
        <f>VLOOKUP(Table2[[#This Row],[Item]],parts[],E$4,FALSE)</f>
        <v>220W, AC PS for FES</v>
      </c>
      <c r="F34" s="3" t="str">
        <f>VLOOKUP(Table2[[#This Row],[Item]],parts[],F$4,FALSE)</f>
        <v>B</v>
      </c>
      <c r="G34" s="23">
        <f>VLOOKUP(Table2[[#This Row],[Item]],parts[],G$4,FALSE)</f>
        <v>1095</v>
      </c>
      <c r="H34" s="27">
        <f>INDEX(Discounts,MATCH(Table2[[#This Row],[Category]],Discount_Categories,0),$I$4)</f>
        <v>0.10500000000000001</v>
      </c>
      <c r="I34" s="25">
        <f>Table2[[#This Row],[Retail Price]]*(1-H34)</f>
        <v>980.02499999999998</v>
      </c>
    </row>
    <row r="35" spans="1:9" x14ac:dyDescent="0.3">
      <c r="A35" s="2" t="s">
        <v>609</v>
      </c>
      <c r="B35" s="3">
        <v>5</v>
      </c>
      <c r="C35" s="1" t="str">
        <f>CHOOSE(Table2[[#This Row],[Loc Code]],$K$6,$K$7,$K$8,$K$9,$K$10)</f>
        <v>remote office buildings</v>
      </c>
      <c r="D35" s="3">
        <v>8</v>
      </c>
      <c r="E35" s="1" t="str">
        <f>VLOOKUP(Table2[[#This Row],[Item]],parts[],E$4,FALSE)</f>
        <v>SX MMF SFP</v>
      </c>
      <c r="F35" s="3" t="str">
        <f>VLOOKUP(Table2[[#This Row],[Item]],parts[],F$4,FALSE)</f>
        <v>A</v>
      </c>
      <c r="G35" s="23">
        <f>VLOOKUP(Table2[[#This Row],[Item]],parts[],G$4,FALSE)</f>
        <v>490</v>
      </c>
      <c r="H35" s="27">
        <f>INDEX(Discounts,MATCH(Table2[[#This Row],[Category]],Discount_Categories,0),$I$4)</f>
        <v>9.5000000000000001E-2</v>
      </c>
      <c r="I35" s="25">
        <f>Table2[[#This Row],[Retail Price]]*(1-H35)</f>
        <v>443.45</v>
      </c>
    </row>
    <row r="36" spans="1:9" x14ac:dyDescent="0.3">
      <c r="A36" s="28" t="s">
        <v>2376</v>
      </c>
      <c r="G36" s="1"/>
      <c r="H36" s="1"/>
      <c r="I36" s="25">
        <f>SUBTOTAL(109,Table2[Cost])</f>
        <v>118640.77499999991</v>
      </c>
    </row>
  </sheetData>
  <mergeCells count="3">
    <mergeCell ref="B3:D3"/>
    <mergeCell ref="G3:H3"/>
    <mergeCell ref="K3:L3"/>
  </mergeCells>
  <conditionalFormatting sqref="A6:I35">
    <cfRule type="expression" dxfId="2" priority="19">
      <formula>$C6=""</formula>
    </cfRule>
    <cfRule type="expression" dxfId="1" priority="20">
      <formula>OR($C6=$K$7,$C6=$K$9)</formula>
    </cfRule>
    <cfRule type="expression" dxfId="0" priority="21">
      <formula>OR($C6=$K$6,$C6=$K$8,$C6=$K$10)</formula>
    </cfRule>
  </conditionalFormatting>
  <dataValidations count="2">
    <dataValidation type="list" allowBlank="1" showInputMessage="1" showErrorMessage="1" sqref="I3" xr:uid="{00000000-0002-0000-0000-000000000000}">
      <formula1>Customer_Categories</formula1>
    </dataValidation>
    <dataValidation type="list" allowBlank="1" showInputMessage="1" showErrorMessage="1" sqref="A6:A35" xr:uid="{00000000-0002-0000-0000-000001000000}">
      <formula1>Item_Code</formula1>
    </dataValidation>
  </dataValidations>
  <pageMargins left="0.25" right="0.25" top="0.75" bottom="0.75" header="0.3" footer="0.3"/>
  <pageSetup paperSize="9" orientation="landscape" horizontalDpi="75" verticalDpi="75" r:id="rId1"/>
  <headerFooter>
    <oddHeader>&amp;L&amp;P&amp;CNetTRON&amp;R&amp;D</oddHeader>
  </headerFooter>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254"/>
  <sheetViews>
    <sheetView zoomScale="110" zoomScaleNormal="110" workbookViewId="0">
      <selection activeCell="G5" sqref="G5"/>
    </sheetView>
  </sheetViews>
  <sheetFormatPr defaultColWidth="9.109375" defaultRowHeight="13.8" x14ac:dyDescent="0.3"/>
  <cols>
    <col min="1" max="1" width="16.109375" style="4" customWidth="1"/>
    <col min="2" max="2" width="42.5546875" style="1" customWidth="1"/>
    <col min="3" max="3" width="26.5546875" style="1" customWidth="1"/>
    <col min="4" max="4" width="12.6640625" style="30" customWidth="1"/>
    <col min="5" max="5" width="22.33203125" style="1" customWidth="1"/>
    <col min="6" max="6" width="5.88671875" style="1" customWidth="1"/>
    <col min="7" max="7" width="14.5546875" style="1" customWidth="1"/>
    <col min="8" max="8" width="11.109375" style="1" bestFit="1" customWidth="1"/>
    <col min="9" max="11" width="9.109375" style="1"/>
    <col min="12" max="12" width="9.33203125" style="1" bestFit="1" customWidth="1"/>
    <col min="13" max="16384" width="9.109375" style="1"/>
  </cols>
  <sheetData>
    <row r="1" spans="1:8" ht="23.4" x14ac:dyDescent="0.45">
      <c r="A1" s="47" t="s">
        <v>2378</v>
      </c>
    </row>
    <row r="3" spans="1:8" ht="14.4" x14ac:dyDescent="0.3">
      <c r="A3" s="59" t="s">
        <v>2381</v>
      </c>
      <c r="B3" s="60" t="s">
        <v>2358</v>
      </c>
      <c r="C3" s="61" t="s">
        <v>2359</v>
      </c>
      <c r="D3" s="62" t="s">
        <v>2361</v>
      </c>
      <c r="E3" s="63" t="s">
        <v>495</v>
      </c>
      <c r="G3" s="31" t="s">
        <v>598</v>
      </c>
      <c r="H3" s="31" t="s">
        <v>2379</v>
      </c>
    </row>
    <row r="4" spans="1:8" x14ac:dyDescent="0.3">
      <c r="A4" s="53" t="s">
        <v>601</v>
      </c>
      <c r="B4" s="41" t="s">
        <v>523</v>
      </c>
      <c r="C4" s="41" t="s">
        <v>524</v>
      </c>
      <c r="D4" s="48">
        <v>995</v>
      </c>
      <c r="E4" s="58" t="str">
        <f>VLOOKUP(D4,$G$4:$H$7,2)</f>
        <v>A</v>
      </c>
      <c r="G4" s="42">
        <v>0</v>
      </c>
      <c r="H4" s="43" t="s">
        <v>496</v>
      </c>
    </row>
    <row r="5" spans="1:8" x14ac:dyDescent="0.3">
      <c r="A5" s="53" t="s">
        <v>602</v>
      </c>
      <c r="B5" s="41" t="s">
        <v>525</v>
      </c>
      <c r="C5" s="41" t="s">
        <v>526</v>
      </c>
      <c r="D5" s="48">
        <v>1695</v>
      </c>
      <c r="E5" s="58" t="str">
        <f>VLOOKUP(D5,$G$4:$H$7,2)</f>
        <v>B</v>
      </c>
      <c r="G5" s="42">
        <v>1000</v>
      </c>
      <c r="H5" s="43" t="s">
        <v>508</v>
      </c>
    </row>
    <row r="6" spans="1:8" x14ac:dyDescent="0.3">
      <c r="A6" s="53" t="s">
        <v>603</v>
      </c>
      <c r="B6" s="41" t="s">
        <v>1859</v>
      </c>
      <c r="C6" s="41" t="s">
        <v>527</v>
      </c>
      <c r="D6" s="48">
        <v>3295</v>
      </c>
      <c r="E6" s="58" t="str">
        <f t="shared" ref="E6:E68" si="0">VLOOKUP(D6,$G$4:$H$7,2)</f>
        <v>B</v>
      </c>
      <c r="G6" s="42">
        <v>10000</v>
      </c>
      <c r="H6" s="43" t="s">
        <v>498</v>
      </c>
    </row>
    <row r="7" spans="1:8" x14ac:dyDescent="0.3">
      <c r="A7" s="53" t="s">
        <v>604</v>
      </c>
      <c r="B7" s="41" t="s">
        <v>1860</v>
      </c>
      <c r="C7" s="41" t="s">
        <v>528</v>
      </c>
      <c r="D7" s="48">
        <v>4945</v>
      </c>
      <c r="E7" s="58" t="str">
        <f>VLOOKUP(D7,$G$4:$H$7,2)</f>
        <v>B</v>
      </c>
      <c r="G7" s="42">
        <v>25000</v>
      </c>
      <c r="H7" s="43" t="s">
        <v>600</v>
      </c>
    </row>
    <row r="8" spans="1:8" x14ac:dyDescent="0.3">
      <c r="A8" s="53" t="s">
        <v>605</v>
      </c>
      <c r="B8" s="41" t="s">
        <v>1861</v>
      </c>
      <c r="C8" s="41" t="s">
        <v>1873</v>
      </c>
      <c r="D8" s="48">
        <v>10995</v>
      </c>
      <c r="E8" s="58" t="str">
        <f t="shared" si="0"/>
        <v>C</v>
      </c>
    </row>
    <row r="9" spans="1:8" x14ac:dyDescent="0.3">
      <c r="A9" s="53" t="s">
        <v>606</v>
      </c>
      <c r="B9" s="41" t="s">
        <v>529</v>
      </c>
      <c r="C9" s="41" t="s">
        <v>530</v>
      </c>
      <c r="D9" s="48">
        <v>1370</v>
      </c>
      <c r="E9" s="58" t="str">
        <f t="shared" si="0"/>
        <v>B</v>
      </c>
    </row>
    <row r="10" spans="1:8" x14ac:dyDescent="0.3">
      <c r="A10" s="53" t="s">
        <v>607</v>
      </c>
      <c r="B10" s="41" t="s">
        <v>531</v>
      </c>
      <c r="C10" s="41" t="s">
        <v>532</v>
      </c>
      <c r="D10" s="48">
        <v>2745</v>
      </c>
      <c r="E10" s="58" t="str">
        <f t="shared" si="0"/>
        <v>B</v>
      </c>
    </row>
    <row r="11" spans="1:8" x14ac:dyDescent="0.3">
      <c r="A11" s="53" t="s">
        <v>608</v>
      </c>
      <c r="B11" s="41" t="s">
        <v>533</v>
      </c>
      <c r="C11" s="41" t="s">
        <v>534</v>
      </c>
      <c r="D11" s="48">
        <v>10995</v>
      </c>
      <c r="E11" s="58" t="str">
        <f t="shared" si="0"/>
        <v>C</v>
      </c>
    </row>
    <row r="12" spans="1:8" x14ac:dyDescent="0.3">
      <c r="A12" s="53" t="s">
        <v>609</v>
      </c>
      <c r="B12" s="41" t="s">
        <v>544</v>
      </c>
      <c r="C12" s="41" t="s">
        <v>545</v>
      </c>
      <c r="D12" s="48">
        <v>490</v>
      </c>
      <c r="E12" s="58" t="str">
        <f t="shared" si="0"/>
        <v>A</v>
      </c>
    </row>
    <row r="13" spans="1:8" x14ac:dyDescent="0.3">
      <c r="A13" s="53" t="s">
        <v>610</v>
      </c>
      <c r="B13" s="41" t="s">
        <v>546</v>
      </c>
      <c r="C13" s="41" t="s">
        <v>547</v>
      </c>
      <c r="D13" s="48">
        <v>1095</v>
      </c>
      <c r="E13" s="58" t="str">
        <f t="shared" si="0"/>
        <v>B</v>
      </c>
    </row>
    <row r="14" spans="1:8" x14ac:dyDescent="0.3">
      <c r="A14" s="53" t="s">
        <v>611</v>
      </c>
      <c r="B14" s="41" t="s">
        <v>548</v>
      </c>
      <c r="C14" s="41" t="s">
        <v>549</v>
      </c>
      <c r="D14" s="48">
        <v>4395</v>
      </c>
      <c r="E14" s="58" t="str">
        <f t="shared" si="0"/>
        <v>B</v>
      </c>
    </row>
    <row r="15" spans="1:8" x14ac:dyDescent="0.3">
      <c r="A15" s="53" t="s">
        <v>612</v>
      </c>
      <c r="B15" s="41" t="s">
        <v>1851</v>
      </c>
      <c r="C15" s="41" t="s">
        <v>550</v>
      </c>
      <c r="D15" s="48">
        <v>5495</v>
      </c>
      <c r="E15" s="58" t="str">
        <f t="shared" si="0"/>
        <v>B</v>
      </c>
    </row>
    <row r="16" spans="1:8" x14ac:dyDescent="0.3">
      <c r="A16" s="53" t="s">
        <v>613</v>
      </c>
      <c r="B16" s="41" t="s">
        <v>1852</v>
      </c>
      <c r="C16" s="41" t="s">
        <v>551</v>
      </c>
      <c r="D16" s="48">
        <v>5495</v>
      </c>
      <c r="E16" s="58" t="str">
        <f t="shared" si="0"/>
        <v>B</v>
      </c>
    </row>
    <row r="17" spans="1:5" x14ac:dyDescent="0.3">
      <c r="A17" s="53" t="s">
        <v>614</v>
      </c>
      <c r="B17" s="41" t="s">
        <v>1853</v>
      </c>
      <c r="C17" s="41" t="s">
        <v>552</v>
      </c>
      <c r="D17" s="48">
        <v>5495</v>
      </c>
      <c r="E17" s="58" t="str">
        <f t="shared" si="0"/>
        <v>B</v>
      </c>
    </row>
    <row r="18" spans="1:5" x14ac:dyDescent="0.3">
      <c r="A18" s="53" t="s">
        <v>615</v>
      </c>
      <c r="B18" s="41" t="s">
        <v>1854</v>
      </c>
      <c r="C18" s="41" t="s">
        <v>553</v>
      </c>
      <c r="D18" s="48">
        <v>5495</v>
      </c>
      <c r="E18" s="58" t="str">
        <f t="shared" si="0"/>
        <v>B</v>
      </c>
    </row>
    <row r="19" spans="1:5" x14ac:dyDescent="0.3">
      <c r="A19" s="53" t="s">
        <v>616</v>
      </c>
      <c r="B19" s="41" t="s">
        <v>1855</v>
      </c>
      <c r="C19" s="41" t="s">
        <v>554</v>
      </c>
      <c r="D19" s="48">
        <v>5495</v>
      </c>
      <c r="E19" s="58" t="str">
        <f t="shared" si="0"/>
        <v>B</v>
      </c>
    </row>
    <row r="20" spans="1:5" x14ac:dyDescent="0.3">
      <c r="A20" s="53" t="s">
        <v>617</v>
      </c>
      <c r="B20" s="41" t="s">
        <v>1856</v>
      </c>
      <c r="C20" s="41" t="s">
        <v>555</v>
      </c>
      <c r="D20" s="48">
        <v>5495</v>
      </c>
      <c r="E20" s="58" t="str">
        <f t="shared" si="0"/>
        <v>B</v>
      </c>
    </row>
    <row r="21" spans="1:5" x14ac:dyDescent="0.3">
      <c r="A21" s="53" t="s">
        <v>618</v>
      </c>
      <c r="B21" s="41" t="s">
        <v>1857</v>
      </c>
      <c r="C21" s="41" t="s">
        <v>556</v>
      </c>
      <c r="D21" s="48">
        <v>5495</v>
      </c>
      <c r="E21" s="58" t="str">
        <f t="shared" si="0"/>
        <v>B</v>
      </c>
    </row>
    <row r="22" spans="1:5" x14ac:dyDescent="0.3">
      <c r="A22" s="53" t="s">
        <v>619</v>
      </c>
      <c r="B22" s="41" t="s">
        <v>1858</v>
      </c>
      <c r="C22" s="41" t="s">
        <v>557</v>
      </c>
      <c r="D22" s="48">
        <v>5495</v>
      </c>
      <c r="E22" s="58" t="str">
        <f t="shared" si="0"/>
        <v>B</v>
      </c>
    </row>
    <row r="23" spans="1:5" x14ac:dyDescent="0.3">
      <c r="A23" s="53" t="s">
        <v>620</v>
      </c>
      <c r="B23" s="41" t="s">
        <v>558</v>
      </c>
      <c r="C23" s="41" t="s">
        <v>559</v>
      </c>
      <c r="D23" s="48">
        <v>2795</v>
      </c>
      <c r="E23" s="58" t="str">
        <f t="shared" si="0"/>
        <v>B</v>
      </c>
    </row>
    <row r="24" spans="1:5" x14ac:dyDescent="0.3">
      <c r="A24" s="53" t="s">
        <v>621</v>
      </c>
      <c r="B24" s="41" t="s">
        <v>560</v>
      </c>
      <c r="C24" s="41" t="s">
        <v>561</v>
      </c>
      <c r="D24" s="48">
        <v>4995</v>
      </c>
      <c r="E24" s="58" t="str">
        <f t="shared" si="0"/>
        <v>B</v>
      </c>
    </row>
    <row r="25" spans="1:5" x14ac:dyDescent="0.3">
      <c r="A25" s="53" t="s">
        <v>622</v>
      </c>
      <c r="B25" s="41" t="s">
        <v>562</v>
      </c>
      <c r="C25" s="41" t="s">
        <v>563</v>
      </c>
      <c r="D25" s="48">
        <v>9395</v>
      </c>
      <c r="E25" s="58" t="str">
        <f t="shared" si="0"/>
        <v>B</v>
      </c>
    </row>
    <row r="26" spans="1:5" x14ac:dyDescent="0.3">
      <c r="A26" s="53" t="s">
        <v>623</v>
      </c>
      <c r="B26" s="41" t="s">
        <v>564</v>
      </c>
      <c r="C26" s="41" t="s">
        <v>565</v>
      </c>
      <c r="D26" s="48">
        <v>3095</v>
      </c>
      <c r="E26" s="58" t="str">
        <f t="shared" si="0"/>
        <v>B</v>
      </c>
    </row>
    <row r="27" spans="1:5" x14ac:dyDescent="0.3">
      <c r="A27" s="53" t="s">
        <v>624</v>
      </c>
      <c r="B27" s="41" t="s">
        <v>566</v>
      </c>
      <c r="C27" s="41" t="s">
        <v>567</v>
      </c>
      <c r="D27" s="48">
        <v>5295</v>
      </c>
      <c r="E27" s="58" t="str">
        <f t="shared" si="0"/>
        <v>B</v>
      </c>
    </row>
    <row r="28" spans="1:5" x14ac:dyDescent="0.3">
      <c r="A28" s="53" t="s">
        <v>625</v>
      </c>
      <c r="B28" s="41" t="s">
        <v>568</v>
      </c>
      <c r="C28" s="41" t="s">
        <v>569</v>
      </c>
      <c r="D28" s="48">
        <v>9695</v>
      </c>
      <c r="E28" s="58" t="str">
        <f t="shared" si="0"/>
        <v>B</v>
      </c>
    </row>
    <row r="29" spans="1:5" x14ac:dyDescent="0.3">
      <c r="A29" s="53" t="s">
        <v>626</v>
      </c>
      <c r="B29" s="41" t="s">
        <v>558</v>
      </c>
      <c r="C29" s="41" t="s">
        <v>570</v>
      </c>
      <c r="D29" s="48">
        <v>4395</v>
      </c>
      <c r="E29" s="58" t="str">
        <f t="shared" si="0"/>
        <v>B</v>
      </c>
    </row>
    <row r="30" spans="1:5" x14ac:dyDescent="0.3">
      <c r="A30" s="53" t="s">
        <v>627</v>
      </c>
      <c r="B30" s="41" t="s">
        <v>560</v>
      </c>
      <c r="C30" s="41" t="s">
        <v>571</v>
      </c>
      <c r="D30" s="48">
        <v>7195</v>
      </c>
      <c r="E30" s="58" t="str">
        <f t="shared" si="0"/>
        <v>B</v>
      </c>
    </row>
    <row r="31" spans="1:5" x14ac:dyDescent="0.3">
      <c r="A31" s="53" t="s">
        <v>628</v>
      </c>
      <c r="B31" s="41" t="s">
        <v>562</v>
      </c>
      <c r="C31" s="41" t="s">
        <v>572</v>
      </c>
      <c r="D31" s="48">
        <v>13795</v>
      </c>
      <c r="E31" s="58" t="str">
        <f t="shared" si="0"/>
        <v>C</v>
      </c>
    </row>
    <row r="32" spans="1:5" x14ac:dyDescent="0.3">
      <c r="A32" s="53" t="s">
        <v>629</v>
      </c>
      <c r="B32" s="41" t="s">
        <v>564</v>
      </c>
      <c r="C32" s="41" t="s">
        <v>573</v>
      </c>
      <c r="D32" s="48">
        <v>4795</v>
      </c>
      <c r="E32" s="58" t="str">
        <f t="shared" si="0"/>
        <v>B</v>
      </c>
    </row>
    <row r="33" spans="1:5" x14ac:dyDescent="0.3">
      <c r="A33" s="53" t="s">
        <v>630</v>
      </c>
      <c r="B33" s="41" t="s">
        <v>566</v>
      </c>
      <c r="C33" s="41" t="s">
        <v>574</v>
      </c>
      <c r="D33" s="48">
        <v>7495</v>
      </c>
      <c r="E33" s="58" t="str">
        <f t="shared" si="0"/>
        <v>B</v>
      </c>
    </row>
    <row r="34" spans="1:5" x14ac:dyDescent="0.3">
      <c r="A34" s="53" t="s">
        <v>631</v>
      </c>
      <c r="B34" s="41" t="s">
        <v>568</v>
      </c>
      <c r="C34" s="41" t="s">
        <v>575</v>
      </c>
      <c r="D34" s="48">
        <v>14095</v>
      </c>
      <c r="E34" s="58" t="str">
        <f t="shared" si="0"/>
        <v>C</v>
      </c>
    </row>
    <row r="35" spans="1:5" x14ac:dyDescent="0.3">
      <c r="A35" s="53" t="s">
        <v>632</v>
      </c>
      <c r="B35" s="41" t="s">
        <v>1907</v>
      </c>
      <c r="C35" s="41" t="s">
        <v>1907</v>
      </c>
      <c r="D35" s="48">
        <v>3845</v>
      </c>
      <c r="E35" s="58" t="str">
        <f t="shared" si="0"/>
        <v>B</v>
      </c>
    </row>
    <row r="36" spans="1:5" x14ac:dyDescent="0.3">
      <c r="A36" s="53" t="s">
        <v>633</v>
      </c>
      <c r="B36" s="41" t="s">
        <v>1907</v>
      </c>
      <c r="C36" s="41" t="s">
        <v>1907</v>
      </c>
      <c r="D36" s="48">
        <v>6045</v>
      </c>
      <c r="E36" s="58" t="str">
        <f t="shared" si="0"/>
        <v>B</v>
      </c>
    </row>
    <row r="37" spans="1:5" x14ac:dyDescent="0.3">
      <c r="A37" s="53" t="s">
        <v>634</v>
      </c>
      <c r="B37" s="41" t="s">
        <v>1908</v>
      </c>
      <c r="C37" s="41" t="s">
        <v>1908</v>
      </c>
      <c r="D37" s="48">
        <v>10445</v>
      </c>
      <c r="E37" s="58" t="str">
        <f t="shared" si="0"/>
        <v>C</v>
      </c>
    </row>
    <row r="38" spans="1:5" x14ac:dyDescent="0.3">
      <c r="A38" s="53" t="s">
        <v>635</v>
      </c>
      <c r="B38" s="41" t="s">
        <v>1982</v>
      </c>
      <c r="C38" s="41" t="s">
        <v>1982</v>
      </c>
      <c r="D38" s="48">
        <v>4175</v>
      </c>
      <c r="E38" s="58" t="str">
        <f t="shared" si="0"/>
        <v>B</v>
      </c>
    </row>
    <row r="39" spans="1:5" x14ac:dyDescent="0.3">
      <c r="A39" s="53" t="s">
        <v>636</v>
      </c>
      <c r="B39" s="41" t="s">
        <v>1983</v>
      </c>
      <c r="C39" s="41" t="s">
        <v>1983</v>
      </c>
      <c r="D39" s="48">
        <v>6375</v>
      </c>
      <c r="E39" s="58" t="str">
        <f t="shared" si="0"/>
        <v>B</v>
      </c>
    </row>
    <row r="40" spans="1:5" x14ac:dyDescent="0.3">
      <c r="A40" s="53" t="s">
        <v>637</v>
      </c>
      <c r="B40" s="41" t="s">
        <v>1984</v>
      </c>
      <c r="C40" s="41" t="s">
        <v>1984</v>
      </c>
      <c r="D40" s="48">
        <v>10775</v>
      </c>
      <c r="E40" s="58" t="str">
        <f t="shared" si="0"/>
        <v>C</v>
      </c>
    </row>
    <row r="41" spans="1:5" x14ac:dyDescent="0.3">
      <c r="A41" s="53" t="s">
        <v>638</v>
      </c>
      <c r="B41" s="41" t="s">
        <v>1985</v>
      </c>
      <c r="C41" s="41" t="s">
        <v>1985</v>
      </c>
      <c r="D41" s="48">
        <v>4395</v>
      </c>
      <c r="E41" s="58" t="str">
        <f t="shared" si="0"/>
        <v>B</v>
      </c>
    </row>
    <row r="42" spans="1:5" x14ac:dyDescent="0.3">
      <c r="A42" s="53" t="s">
        <v>639</v>
      </c>
      <c r="B42" s="41" t="s">
        <v>1986</v>
      </c>
      <c r="C42" s="41" t="s">
        <v>1986</v>
      </c>
      <c r="D42" s="48">
        <v>6595</v>
      </c>
      <c r="E42" s="58" t="str">
        <f t="shared" si="0"/>
        <v>B</v>
      </c>
    </row>
    <row r="43" spans="1:5" x14ac:dyDescent="0.3">
      <c r="A43" s="53" t="s">
        <v>640</v>
      </c>
      <c r="B43" s="41" t="s">
        <v>1987</v>
      </c>
      <c r="C43" s="41" t="s">
        <v>1988</v>
      </c>
      <c r="D43" s="48">
        <v>1095</v>
      </c>
      <c r="E43" s="58" t="str">
        <f t="shared" si="0"/>
        <v>B</v>
      </c>
    </row>
    <row r="44" spans="1:5" x14ac:dyDescent="0.3">
      <c r="A44" s="53" t="s">
        <v>641</v>
      </c>
      <c r="B44" s="41" t="s">
        <v>1909</v>
      </c>
      <c r="C44" s="41" t="s">
        <v>576</v>
      </c>
      <c r="D44" s="48">
        <v>6595</v>
      </c>
      <c r="E44" s="58" t="str">
        <f t="shared" si="0"/>
        <v>B</v>
      </c>
    </row>
    <row r="45" spans="1:5" x14ac:dyDescent="0.3">
      <c r="A45" s="53" t="s">
        <v>642</v>
      </c>
      <c r="B45" s="41" t="s">
        <v>1910</v>
      </c>
      <c r="C45" s="41" t="s">
        <v>577</v>
      </c>
      <c r="D45" s="48">
        <v>6925</v>
      </c>
      <c r="E45" s="58" t="str">
        <f t="shared" si="0"/>
        <v>B</v>
      </c>
    </row>
    <row r="46" spans="1:5" x14ac:dyDescent="0.3">
      <c r="A46" s="53" t="s">
        <v>643</v>
      </c>
      <c r="B46" s="41" t="s">
        <v>1909</v>
      </c>
      <c r="C46" s="41" t="s">
        <v>578</v>
      </c>
      <c r="D46" s="48">
        <v>8795</v>
      </c>
      <c r="E46" s="58" t="str">
        <f t="shared" si="0"/>
        <v>B</v>
      </c>
    </row>
    <row r="47" spans="1:5" x14ac:dyDescent="0.3">
      <c r="A47" s="53" t="s">
        <v>644</v>
      </c>
      <c r="B47" s="41" t="s">
        <v>1910</v>
      </c>
      <c r="C47" s="41" t="s">
        <v>579</v>
      </c>
      <c r="D47" s="48">
        <v>9125</v>
      </c>
      <c r="E47" s="58" t="str">
        <f t="shared" si="0"/>
        <v>B</v>
      </c>
    </row>
    <row r="48" spans="1:5" x14ac:dyDescent="0.3">
      <c r="A48" s="53" t="s">
        <v>645</v>
      </c>
      <c r="B48" s="41" t="s">
        <v>1874</v>
      </c>
      <c r="C48" s="41" t="s">
        <v>580</v>
      </c>
      <c r="D48" s="48">
        <v>3295</v>
      </c>
      <c r="E48" s="58" t="str">
        <f t="shared" si="0"/>
        <v>B</v>
      </c>
    </row>
    <row r="49" spans="1:5" x14ac:dyDescent="0.3">
      <c r="A49" s="53" t="s">
        <v>646</v>
      </c>
      <c r="B49" s="41" t="s">
        <v>1875</v>
      </c>
      <c r="C49" s="41" t="s">
        <v>581</v>
      </c>
      <c r="D49" s="48">
        <v>5495</v>
      </c>
      <c r="E49" s="58" t="str">
        <f t="shared" si="0"/>
        <v>B</v>
      </c>
    </row>
    <row r="50" spans="1:5" x14ac:dyDescent="0.3">
      <c r="A50" s="53" t="s">
        <v>647</v>
      </c>
      <c r="B50" s="41" t="s">
        <v>1876</v>
      </c>
      <c r="C50" s="41" t="s">
        <v>582</v>
      </c>
      <c r="D50" s="48">
        <v>4995</v>
      </c>
      <c r="E50" s="58" t="str">
        <f t="shared" si="0"/>
        <v>B</v>
      </c>
    </row>
    <row r="51" spans="1:5" x14ac:dyDescent="0.3">
      <c r="A51" s="53" t="s">
        <v>648</v>
      </c>
      <c r="B51" s="41" t="s">
        <v>1877</v>
      </c>
      <c r="C51" s="41" t="s">
        <v>583</v>
      </c>
      <c r="D51" s="48">
        <v>7695</v>
      </c>
      <c r="E51" s="58" t="str">
        <f t="shared" si="0"/>
        <v>B</v>
      </c>
    </row>
    <row r="52" spans="1:5" x14ac:dyDescent="0.3">
      <c r="A52" s="53" t="s">
        <v>649</v>
      </c>
      <c r="B52" s="41" t="s">
        <v>1868</v>
      </c>
      <c r="C52" s="41" t="s">
        <v>584</v>
      </c>
      <c r="D52" s="48">
        <v>1645</v>
      </c>
      <c r="E52" s="58" t="str">
        <f t="shared" si="0"/>
        <v>B</v>
      </c>
    </row>
    <row r="53" spans="1:5" x14ac:dyDescent="0.3">
      <c r="A53" s="53" t="s">
        <v>650</v>
      </c>
      <c r="B53" s="41" t="s">
        <v>1869</v>
      </c>
      <c r="C53" s="41" t="s">
        <v>584</v>
      </c>
      <c r="D53" s="48">
        <v>2195</v>
      </c>
      <c r="E53" s="58" t="str">
        <f t="shared" si="0"/>
        <v>B</v>
      </c>
    </row>
    <row r="54" spans="1:5" x14ac:dyDescent="0.3">
      <c r="A54" s="53" t="s">
        <v>651</v>
      </c>
      <c r="B54" s="41" t="s">
        <v>1870</v>
      </c>
      <c r="C54" s="41" t="s">
        <v>585</v>
      </c>
      <c r="D54" s="48">
        <v>4395</v>
      </c>
      <c r="E54" s="58" t="str">
        <f t="shared" si="0"/>
        <v>B</v>
      </c>
    </row>
    <row r="55" spans="1:5" x14ac:dyDescent="0.3">
      <c r="A55" s="53" t="s">
        <v>652</v>
      </c>
      <c r="B55" s="41" t="s">
        <v>1864</v>
      </c>
      <c r="C55" s="41" t="s">
        <v>586</v>
      </c>
      <c r="D55" s="48">
        <v>2195</v>
      </c>
      <c r="E55" s="58" t="str">
        <f t="shared" si="0"/>
        <v>B</v>
      </c>
    </row>
    <row r="56" spans="1:5" x14ac:dyDescent="0.3">
      <c r="A56" s="53" t="s">
        <v>653</v>
      </c>
      <c r="B56" s="41" t="s">
        <v>1989</v>
      </c>
      <c r="C56" s="41" t="s">
        <v>2309</v>
      </c>
      <c r="D56" s="48">
        <v>1095</v>
      </c>
      <c r="E56" s="58" t="str">
        <f t="shared" si="0"/>
        <v>B</v>
      </c>
    </row>
    <row r="57" spans="1:5" x14ac:dyDescent="0.3">
      <c r="A57" s="53" t="s">
        <v>654</v>
      </c>
      <c r="B57" s="41" t="s">
        <v>1865</v>
      </c>
      <c r="C57" s="41" t="s">
        <v>587</v>
      </c>
      <c r="D57" s="48">
        <v>1425</v>
      </c>
      <c r="E57" s="58" t="str">
        <f t="shared" si="0"/>
        <v>B</v>
      </c>
    </row>
    <row r="58" spans="1:5" x14ac:dyDescent="0.3">
      <c r="A58" s="53" t="s">
        <v>655</v>
      </c>
      <c r="B58" s="41" t="s">
        <v>1871</v>
      </c>
      <c r="C58" s="41" t="s">
        <v>1878</v>
      </c>
      <c r="D58" s="48">
        <v>1645</v>
      </c>
      <c r="E58" s="58" t="str">
        <f t="shared" si="0"/>
        <v>B</v>
      </c>
    </row>
    <row r="59" spans="1:5" x14ac:dyDescent="0.3">
      <c r="A59" s="54" t="s">
        <v>656</v>
      </c>
      <c r="B59" s="41" t="s">
        <v>1872</v>
      </c>
      <c r="C59" s="41" t="s">
        <v>1879</v>
      </c>
      <c r="D59" s="48">
        <v>1975</v>
      </c>
      <c r="E59" s="58" t="str">
        <f t="shared" si="0"/>
        <v>B</v>
      </c>
    </row>
    <row r="60" spans="1:5" x14ac:dyDescent="0.3">
      <c r="A60" s="55" t="s">
        <v>657</v>
      </c>
      <c r="B60" s="33" t="s">
        <v>2229</v>
      </c>
      <c r="C60" s="33" t="s">
        <v>2229</v>
      </c>
      <c r="D60" s="32">
        <v>55</v>
      </c>
      <c r="E60" s="58" t="str">
        <f t="shared" si="0"/>
        <v>A</v>
      </c>
    </row>
    <row r="61" spans="1:5" x14ac:dyDescent="0.3">
      <c r="A61" s="53" t="s">
        <v>658</v>
      </c>
      <c r="B61" s="41" t="s">
        <v>588</v>
      </c>
      <c r="C61" s="41" t="s">
        <v>589</v>
      </c>
      <c r="D61" s="48">
        <v>5495</v>
      </c>
      <c r="E61" s="58" t="str">
        <f t="shared" si="0"/>
        <v>B</v>
      </c>
    </row>
    <row r="62" spans="1:5" x14ac:dyDescent="0.3">
      <c r="A62" s="53" t="s">
        <v>659</v>
      </c>
      <c r="B62" s="41" t="s">
        <v>590</v>
      </c>
      <c r="C62" s="41" t="s">
        <v>591</v>
      </c>
      <c r="D62" s="48">
        <v>490</v>
      </c>
      <c r="E62" s="58" t="str">
        <f t="shared" si="0"/>
        <v>A</v>
      </c>
    </row>
    <row r="63" spans="1:5" x14ac:dyDescent="0.3">
      <c r="A63" s="53" t="s">
        <v>660</v>
      </c>
      <c r="B63" s="41" t="s">
        <v>592</v>
      </c>
      <c r="C63" s="41" t="s">
        <v>593</v>
      </c>
      <c r="D63" s="48">
        <v>490</v>
      </c>
      <c r="E63" s="58" t="str">
        <f t="shared" si="0"/>
        <v>A</v>
      </c>
    </row>
    <row r="64" spans="1:5" x14ac:dyDescent="0.3">
      <c r="A64" s="53" t="s">
        <v>661</v>
      </c>
      <c r="B64" s="41" t="s">
        <v>594</v>
      </c>
      <c r="C64" s="41" t="s">
        <v>595</v>
      </c>
      <c r="D64" s="48">
        <v>4395</v>
      </c>
      <c r="E64" s="58" t="str">
        <f t="shared" si="0"/>
        <v>B</v>
      </c>
    </row>
    <row r="65" spans="1:5" x14ac:dyDescent="0.3">
      <c r="A65" s="54" t="s">
        <v>662</v>
      </c>
      <c r="B65" s="33" t="s">
        <v>2230</v>
      </c>
      <c r="C65" s="33" t="s">
        <v>2230</v>
      </c>
      <c r="D65" s="32">
        <v>3295</v>
      </c>
      <c r="E65" s="58" t="str">
        <f t="shared" si="0"/>
        <v>B</v>
      </c>
    </row>
    <row r="66" spans="1:5" x14ac:dyDescent="0.3">
      <c r="A66" s="54" t="s">
        <v>663</v>
      </c>
      <c r="B66" s="33" t="s">
        <v>2231</v>
      </c>
      <c r="C66" s="33" t="s">
        <v>2231</v>
      </c>
      <c r="D66" s="32">
        <v>4945</v>
      </c>
      <c r="E66" s="58" t="str">
        <f t="shared" si="0"/>
        <v>B</v>
      </c>
    </row>
    <row r="67" spans="1:5" x14ac:dyDescent="0.3">
      <c r="A67" s="54" t="s">
        <v>664</v>
      </c>
      <c r="B67" s="33" t="s">
        <v>2232</v>
      </c>
      <c r="C67" s="33" t="s">
        <v>499</v>
      </c>
      <c r="D67" s="32">
        <v>1095</v>
      </c>
      <c r="E67" s="58" t="str">
        <f t="shared" si="0"/>
        <v>B</v>
      </c>
    </row>
    <row r="68" spans="1:5" x14ac:dyDescent="0.3">
      <c r="A68" s="53" t="s">
        <v>665</v>
      </c>
      <c r="B68" s="41" t="s">
        <v>497</v>
      </c>
      <c r="C68" s="41" t="s">
        <v>497</v>
      </c>
      <c r="D68" s="48">
        <v>1645</v>
      </c>
      <c r="E68" s="58" t="str">
        <f t="shared" si="0"/>
        <v>B</v>
      </c>
    </row>
    <row r="69" spans="1:5" x14ac:dyDescent="0.3">
      <c r="A69" s="53" t="s">
        <v>666</v>
      </c>
      <c r="B69" s="41" t="s">
        <v>351</v>
      </c>
      <c r="C69" s="41" t="s">
        <v>352</v>
      </c>
      <c r="D69" s="48">
        <v>185</v>
      </c>
      <c r="E69" s="58" t="str">
        <f t="shared" ref="E69:E132" si="1">VLOOKUP(D69,$G$4:$H$7,2)</f>
        <v>A</v>
      </c>
    </row>
    <row r="70" spans="1:5" x14ac:dyDescent="0.3">
      <c r="A70" s="54" t="s">
        <v>667</v>
      </c>
      <c r="B70" s="33" t="s">
        <v>500</v>
      </c>
      <c r="C70" s="33" t="s">
        <v>353</v>
      </c>
      <c r="D70" s="32">
        <v>325</v>
      </c>
      <c r="E70" s="58" t="str">
        <f t="shared" si="1"/>
        <v>A</v>
      </c>
    </row>
    <row r="71" spans="1:5" x14ac:dyDescent="0.3">
      <c r="A71" s="54" t="s">
        <v>668</v>
      </c>
      <c r="B71" s="33" t="s">
        <v>501</v>
      </c>
      <c r="C71" s="33" t="s">
        <v>354</v>
      </c>
      <c r="D71" s="32">
        <v>435</v>
      </c>
      <c r="E71" s="58" t="str">
        <f t="shared" si="1"/>
        <v>A</v>
      </c>
    </row>
    <row r="72" spans="1:5" x14ac:dyDescent="0.3">
      <c r="A72" s="53" t="s">
        <v>669</v>
      </c>
      <c r="B72" s="41" t="s">
        <v>355</v>
      </c>
      <c r="C72" s="41" t="s">
        <v>356</v>
      </c>
      <c r="D72" s="48">
        <v>435</v>
      </c>
      <c r="E72" s="58" t="str">
        <f t="shared" si="1"/>
        <v>A</v>
      </c>
    </row>
    <row r="73" spans="1:5" x14ac:dyDescent="0.3">
      <c r="A73" s="53" t="s">
        <v>670</v>
      </c>
      <c r="B73" s="41" t="s">
        <v>357</v>
      </c>
      <c r="C73" s="41" t="s">
        <v>358</v>
      </c>
      <c r="D73" s="48">
        <v>435</v>
      </c>
      <c r="E73" s="58" t="str">
        <f t="shared" si="1"/>
        <v>A</v>
      </c>
    </row>
    <row r="74" spans="1:5" x14ac:dyDescent="0.3">
      <c r="A74" s="53" t="s">
        <v>671</v>
      </c>
      <c r="B74" s="41" t="s">
        <v>359</v>
      </c>
      <c r="C74" s="41" t="s">
        <v>360</v>
      </c>
      <c r="D74" s="48">
        <v>325</v>
      </c>
      <c r="E74" s="58" t="str">
        <f t="shared" si="1"/>
        <v>A</v>
      </c>
    </row>
    <row r="75" spans="1:5" x14ac:dyDescent="0.3">
      <c r="A75" s="53" t="s">
        <v>672</v>
      </c>
      <c r="B75" s="41" t="s">
        <v>544</v>
      </c>
      <c r="C75" s="41" t="s">
        <v>545</v>
      </c>
      <c r="D75" s="48">
        <v>490</v>
      </c>
      <c r="E75" s="58" t="str">
        <f t="shared" si="1"/>
        <v>A</v>
      </c>
    </row>
    <row r="76" spans="1:5" x14ac:dyDescent="0.3">
      <c r="A76" s="53" t="s">
        <v>673</v>
      </c>
      <c r="B76" s="41" t="s">
        <v>592</v>
      </c>
      <c r="C76" s="41" t="s">
        <v>593</v>
      </c>
      <c r="D76" s="48">
        <v>490</v>
      </c>
      <c r="E76" s="58" t="str">
        <f t="shared" si="1"/>
        <v>A</v>
      </c>
    </row>
    <row r="77" spans="1:5" x14ac:dyDescent="0.3">
      <c r="A77" s="53" t="s">
        <v>674</v>
      </c>
      <c r="B77" s="41" t="s">
        <v>361</v>
      </c>
      <c r="C77" s="41" t="s">
        <v>362</v>
      </c>
      <c r="D77" s="48">
        <v>655</v>
      </c>
      <c r="E77" s="58" t="str">
        <f t="shared" si="1"/>
        <v>A</v>
      </c>
    </row>
    <row r="78" spans="1:5" x14ac:dyDescent="0.3">
      <c r="A78" s="53" t="s">
        <v>675</v>
      </c>
      <c r="B78" s="41" t="s">
        <v>546</v>
      </c>
      <c r="C78" s="41" t="s">
        <v>547</v>
      </c>
      <c r="D78" s="48">
        <v>1095</v>
      </c>
      <c r="E78" s="58" t="str">
        <f t="shared" si="1"/>
        <v>B</v>
      </c>
    </row>
    <row r="79" spans="1:5" x14ac:dyDescent="0.3">
      <c r="A79" s="53" t="s">
        <v>676</v>
      </c>
      <c r="B79" s="41" t="s">
        <v>363</v>
      </c>
      <c r="C79" s="41" t="s">
        <v>364</v>
      </c>
      <c r="D79" s="48">
        <v>1315</v>
      </c>
      <c r="E79" s="58" t="str">
        <f t="shared" si="1"/>
        <v>B</v>
      </c>
    </row>
    <row r="80" spans="1:5" x14ac:dyDescent="0.3">
      <c r="A80" s="53" t="s">
        <v>677</v>
      </c>
      <c r="B80" s="41" t="s">
        <v>365</v>
      </c>
      <c r="C80" s="41" t="s">
        <v>366</v>
      </c>
      <c r="D80" s="48">
        <v>1315</v>
      </c>
      <c r="E80" s="58" t="str">
        <f t="shared" si="1"/>
        <v>B</v>
      </c>
    </row>
    <row r="81" spans="1:5" x14ac:dyDescent="0.3">
      <c r="A81" s="53" t="s">
        <v>678</v>
      </c>
      <c r="B81" s="41" t="s">
        <v>1851</v>
      </c>
      <c r="C81" s="41" t="s">
        <v>550</v>
      </c>
      <c r="D81" s="48">
        <v>5495</v>
      </c>
      <c r="E81" s="58" t="str">
        <f t="shared" si="1"/>
        <v>B</v>
      </c>
    </row>
    <row r="82" spans="1:5" x14ac:dyDescent="0.3">
      <c r="A82" s="53" t="s">
        <v>679</v>
      </c>
      <c r="B82" s="41" t="s">
        <v>1852</v>
      </c>
      <c r="C82" s="41" t="s">
        <v>551</v>
      </c>
      <c r="D82" s="48">
        <v>5495</v>
      </c>
      <c r="E82" s="58" t="str">
        <f t="shared" si="1"/>
        <v>B</v>
      </c>
    </row>
    <row r="83" spans="1:5" x14ac:dyDescent="0.3">
      <c r="A83" s="53" t="s">
        <v>680</v>
      </c>
      <c r="B83" s="41" t="s">
        <v>1853</v>
      </c>
      <c r="C83" s="41" t="s">
        <v>552</v>
      </c>
      <c r="D83" s="48">
        <v>5495</v>
      </c>
      <c r="E83" s="58" t="str">
        <f t="shared" si="1"/>
        <v>B</v>
      </c>
    </row>
    <row r="84" spans="1:5" x14ac:dyDescent="0.3">
      <c r="A84" s="53" t="s">
        <v>681</v>
      </c>
      <c r="B84" s="41" t="s">
        <v>1854</v>
      </c>
      <c r="C84" s="41" t="s">
        <v>553</v>
      </c>
      <c r="D84" s="48">
        <v>5495</v>
      </c>
      <c r="E84" s="58" t="str">
        <f t="shared" si="1"/>
        <v>B</v>
      </c>
    </row>
    <row r="85" spans="1:5" x14ac:dyDescent="0.3">
      <c r="A85" s="53" t="s">
        <v>682</v>
      </c>
      <c r="B85" s="41" t="s">
        <v>1855</v>
      </c>
      <c r="C85" s="41" t="s">
        <v>554</v>
      </c>
      <c r="D85" s="48">
        <v>5495</v>
      </c>
      <c r="E85" s="58" t="str">
        <f t="shared" si="1"/>
        <v>B</v>
      </c>
    </row>
    <row r="86" spans="1:5" x14ac:dyDescent="0.3">
      <c r="A86" s="53" t="s">
        <v>683</v>
      </c>
      <c r="B86" s="41" t="s">
        <v>1856</v>
      </c>
      <c r="C86" s="41" t="s">
        <v>555</v>
      </c>
      <c r="D86" s="48">
        <v>5495</v>
      </c>
      <c r="E86" s="58" t="str">
        <f t="shared" si="1"/>
        <v>B</v>
      </c>
    </row>
    <row r="87" spans="1:5" x14ac:dyDescent="0.3">
      <c r="A87" s="53" t="s">
        <v>684</v>
      </c>
      <c r="B87" s="41" t="s">
        <v>1857</v>
      </c>
      <c r="C87" s="41" t="s">
        <v>556</v>
      </c>
      <c r="D87" s="48">
        <v>5495</v>
      </c>
      <c r="E87" s="58" t="str">
        <f t="shared" si="1"/>
        <v>B</v>
      </c>
    </row>
    <row r="88" spans="1:5" x14ac:dyDescent="0.3">
      <c r="A88" s="53" t="s">
        <v>685</v>
      </c>
      <c r="B88" s="41" t="s">
        <v>1858</v>
      </c>
      <c r="C88" s="41" t="s">
        <v>557</v>
      </c>
      <c r="D88" s="48">
        <v>5495</v>
      </c>
      <c r="E88" s="58" t="str">
        <f t="shared" si="1"/>
        <v>B</v>
      </c>
    </row>
    <row r="89" spans="1:5" x14ac:dyDescent="0.3">
      <c r="A89" s="53" t="s">
        <v>686</v>
      </c>
      <c r="B89" s="41" t="s">
        <v>548</v>
      </c>
      <c r="C89" s="41" t="s">
        <v>549</v>
      </c>
      <c r="D89" s="48">
        <v>4395</v>
      </c>
      <c r="E89" s="58" t="str">
        <f t="shared" si="1"/>
        <v>B</v>
      </c>
    </row>
    <row r="90" spans="1:5" x14ac:dyDescent="0.3">
      <c r="A90" s="53" t="s">
        <v>687</v>
      </c>
      <c r="B90" s="41" t="s">
        <v>588</v>
      </c>
      <c r="C90" s="41" t="s">
        <v>589</v>
      </c>
      <c r="D90" s="48">
        <v>5495</v>
      </c>
      <c r="E90" s="58" t="str">
        <f t="shared" si="1"/>
        <v>B</v>
      </c>
    </row>
    <row r="91" spans="1:5" x14ac:dyDescent="0.3">
      <c r="A91" s="54" t="s">
        <v>688</v>
      </c>
      <c r="B91" s="33" t="s">
        <v>367</v>
      </c>
      <c r="C91" s="33" t="s">
        <v>368</v>
      </c>
      <c r="D91" s="48">
        <v>1095</v>
      </c>
      <c r="E91" s="58" t="str">
        <f t="shared" si="1"/>
        <v>B</v>
      </c>
    </row>
    <row r="92" spans="1:5" x14ac:dyDescent="0.3">
      <c r="A92" s="53" t="s">
        <v>689</v>
      </c>
      <c r="B92" s="41" t="s">
        <v>529</v>
      </c>
      <c r="C92" s="41" t="s">
        <v>530</v>
      </c>
      <c r="D92" s="48">
        <v>1370</v>
      </c>
      <c r="E92" s="58" t="str">
        <f t="shared" si="1"/>
        <v>B</v>
      </c>
    </row>
    <row r="93" spans="1:5" x14ac:dyDescent="0.3">
      <c r="A93" s="53" t="s">
        <v>690</v>
      </c>
      <c r="B93" s="41" t="s">
        <v>531</v>
      </c>
      <c r="C93" s="41" t="s">
        <v>532</v>
      </c>
      <c r="D93" s="48">
        <v>2745</v>
      </c>
      <c r="E93" s="58" t="str">
        <f t="shared" si="1"/>
        <v>B</v>
      </c>
    </row>
    <row r="94" spans="1:5" x14ac:dyDescent="0.3">
      <c r="A94" s="54" t="s">
        <v>691</v>
      </c>
      <c r="B94" s="33" t="s">
        <v>502</v>
      </c>
      <c r="C94" s="33" t="s">
        <v>503</v>
      </c>
      <c r="D94" s="32">
        <v>2745</v>
      </c>
      <c r="E94" s="58" t="str">
        <f t="shared" si="1"/>
        <v>B</v>
      </c>
    </row>
    <row r="95" spans="1:5" x14ac:dyDescent="0.3">
      <c r="A95" s="53" t="s">
        <v>692</v>
      </c>
      <c r="B95" s="41" t="s">
        <v>533</v>
      </c>
      <c r="C95" s="41" t="s">
        <v>534</v>
      </c>
      <c r="D95" s="48">
        <v>10995</v>
      </c>
      <c r="E95" s="58" t="str">
        <f t="shared" si="1"/>
        <v>C</v>
      </c>
    </row>
    <row r="96" spans="1:5" x14ac:dyDescent="0.3">
      <c r="A96" s="53" t="s">
        <v>693</v>
      </c>
      <c r="B96" s="41" t="s">
        <v>369</v>
      </c>
      <c r="C96" s="41" t="s">
        <v>370</v>
      </c>
      <c r="D96" s="48">
        <v>17595</v>
      </c>
      <c r="E96" s="58" t="str">
        <f t="shared" si="1"/>
        <v>C</v>
      </c>
    </row>
    <row r="97" spans="1:5" x14ac:dyDescent="0.3">
      <c r="A97" s="56" t="s">
        <v>694</v>
      </c>
      <c r="B97" s="50" t="s">
        <v>371</v>
      </c>
      <c r="C97" s="52" t="s">
        <v>372</v>
      </c>
      <c r="D97" s="48">
        <v>21995</v>
      </c>
      <c r="E97" s="58" t="str">
        <f t="shared" si="1"/>
        <v>C</v>
      </c>
    </row>
    <row r="98" spans="1:5" x14ac:dyDescent="0.3">
      <c r="A98" s="56" t="s">
        <v>695</v>
      </c>
      <c r="B98" s="50" t="s">
        <v>373</v>
      </c>
      <c r="C98" s="33" t="s">
        <v>374</v>
      </c>
      <c r="D98" s="48">
        <v>21995</v>
      </c>
      <c r="E98" s="58" t="str">
        <f t="shared" si="1"/>
        <v>C</v>
      </c>
    </row>
    <row r="99" spans="1:5" x14ac:dyDescent="0.3">
      <c r="A99" s="56" t="s">
        <v>696</v>
      </c>
      <c r="B99" s="50" t="s">
        <v>375</v>
      </c>
      <c r="C99" s="33" t="s">
        <v>376</v>
      </c>
      <c r="D99" s="48">
        <v>21995</v>
      </c>
      <c r="E99" s="58" t="str">
        <f t="shared" si="1"/>
        <v>C</v>
      </c>
    </row>
    <row r="100" spans="1:5" x14ac:dyDescent="0.3">
      <c r="A100" s="56" t="s">
        <v>697</v>
      </c>
      <c r="B100" s="50" t="s">
        <v>377</v>
      </c>
      <c r="C100" s="33" t="s">
        <v>378</v>
      </c>
      <c r="D100" s="48">
        <v>21995</v>
      </c>
      <c r="E100" s="58" t="str">
        <f t="shared" si="1"/>
        <v>C</v>
      </c>
    </row>
    <row r="101" spans="1:5" x14ac:dyDescent="0.3">
      <c r="A101" s="56" t="s">
        <v>698</v>
      </c>
      <c r="B101" s="50" t="s">
        <v>379</v>
      </c>
      <c r="C101" s="33" t="s">
        <v>380</v>
      </c>
      <c r="D101" s="48">
        <v>21995</v>
      </c>
      <c r="E101" s="58" t="str">
        <f t="shared" si="1"/>
        <v>C</v>
      </c>
    </row>
    <row r="102" spans="1:5" x14ac:dyDescent="0.3">
      <c r="A102" s="56" t="s">
        <v>699</v>
      </c>
      <c r="B102" s="50" t="s">
        <v>381</v>
      </c>
      <c r="C102" s="33" t="s">
        <v>382</v>
      </c>
      <c r="D102" s="48">
        <v>21995</v>
      </c>
      <c r="E102" s="58" t="str">
        <f t="shared" si="1"/>
        <v>C</v>
      </c>
    </row>
    <row r="103" spans="1:5" x14ac:dyDescent="0.3">
      <c r="A103" s="56" t="s">
        <v>700</v>
      </c>
      <c r="B103" s="50" t="s">
        <v>383</v>
      </c>
      <c r="C103" s="33" t="s">
        <v>384</v>
      </c>
      <c r="D103" s="48">
        <v>21995</v>
      </c>
      <c r="E103" s="58" t="str">
        <f t="shared" si="1"/>
        <v>C</v>
      </c>
    </row>
    <row r="104" spans="1:5" x14ac:dyDescent="0.3">
      <c r="A104" s="56" t="s">
        <v>701</v>
      </c>
      <c r="B104" s="50" t="s">
        <v>385</v>
      </c>
      <c r="C104" s="33" t="s">
        <v>386</v>
      </c>
      <c r="D104" s="48">
        <v>21995</v>
      </c>
      <c r="E104" s="58" t="str">
        <f t="shared" si="1"/>
        <v>C</v>
      </c>
    </row>
    <row r="105" spans="1:5" x14ac:dyDescent="0.3">
      <c r="A105" s="56" t="s">
        <v>702</v>
      </c>
      <c r="B105" s="50" t="s">
        <v>387</v>
      </c>
      <c r="C105" s="33" t="s">
        <v>388</v>
      </c>
      <c r="D105" s="48">
        <v>21995</v>
      </c>
      <c r="E105" s="58" t="str">
        <f t="shared" si="1"/>
        <v>C</v>
      </c>
    </row>
    <row r="106" spans="1:5" x14ac:dyDescent="0.3">
      <c r="A106" s="56" t="s">
        <v>703</v>
      </c>
      <c r="B106" s="50" t="s">
        <v>389</v>
      </c>
      <c r="C106" s="33" t="s">
        <v>390</v>
      </c>
      <c r="D106" s="48">
        <v>21995</v>
      </c>
      <c r="E106" s="58" t="str">
        <f t="shared" si="1"/>
        <v>C</v>
      </c>
    </row>
    <row r="107" spans="1:5" x14ac:dyDescent="0.3">
      <c r="A107" s="56" t="s">
        <v>704</v>
      </c>
      <c r="B107" s="50" t="s">
        <v>391</v>
      </c>
      <c r="C107" s="33" t="s">
        <v>392</v>
      </c>
      <c r="D107" s="48">
        <v>21995</v>
      </c>
      <c r="E107" s="58" t="str">
        <f t="shared" si="1"/>
        <v>C</v>
      </c>
    </row>
    <row r="108" spans="1:5" x14ac:dyDescent="0.3">
      <c r="A108" s="56" t="s">
        <v>705</v>
      </c>
      <c r="B108" s="50" t="s">
        <v>393</v>
      </c>
      <c r="C108" s="33" t="s">
        <v>394</v>
      </c>
      <c r="D108" s="48">
        <v>21995</v>
      </c>
      <c r="E108" s="58" t="str">
        <f t="shared" si="1"/>
        <v>C</v>
      </c>
    </row>
    <row r="109" spans="1:5" x14ac:dyDescent="0.3">
      <c r="A109" s="56" t="s">
        <v>706</v>
      </c>
      <c r="B109" s="50" t="s">
        <v>395</v>
      </c>
      <c r="C109" s="33" t="s">
        <v>396</v>
      </c>
      <c r="D109" s="48">
        <v>21995</v>
      </c>
      <c r="E109" s="58" t="str">
        <f t="shared" si="1"/>
        <v>C</v>
      </c>
    </row>
    <row r="110" spans="1:5" x14ac:dyDescent="0.3">
      <c r="A110" s="56" t="s">
        <v>707</v>
      </c>
      <c r="B110" s="50" t="s">
        <v>397</v>
      </c>
      <c r="C110" s="33" t="s">
        <v>398</v>
      </c>
      <c r="D110" s="48">
        <v>21995</v>
      </c>
      <c r="E110" s="58" t="str">
        <f t="shared" si="1"/>
        <v>C</v>
      </c>
    </row>
    <row r="111" spans="1:5" x14ac:dyDescent="0.3">
      <c r="A111" s="56" t="s">
        <v>708</v>
      </c>
      <c r="B111" s="50" t="s">
        <v>399</v>
      </c>
      <c r="C111" s="33" t="s">
        <v>400</v>
      </c>
      <c r="D111" s="48">
        <v>21995</v>
      </c>
      <c r="E111" s="58" t="str">
        <f t="shared" si="1"/>
        <v>C</v>
      </c>
    </row>
    <row r="112" spans="1:5" x14ac:dyDescent="0.3">
      <c r="A112" s="56" t="s">
        <v>709</v>
      </c>
      <c r="B112" s="50" t="s">
        <v>401</v>
      </c>
      <c r="C112" s="33" t="s">
        <v>402</v>
      </c>
      <c r="D112" s="48">
        <v>21995</v>
      </c>
      <c r="E112" s="58" t="str">
        <f t="shared" si="1"/>
        <v>C</v>
      </c>
    </row>
    <row r="113" spans="1:5" x14ac:dyDescent="0.3">
      <c r="A113" s="56" t="s">
        <v>710</v>
      </c>
      <c r="B113" s="50" t="s">
        <v>403</v>
      </c>
      <c r="C113" s="33" t="s">
        <v>404</v>
      </c>
      <c r="D113" s="48">
        <v>21995</v>
      </c>
      <c r="E113" s="58" t="str">
        <f t="shared" si="1"/>
        <v>C</v>
      </c>
    </row>
    <row r="114" spans="1:5" x14ac:dyDescent="0.3">
      <c r="A114" s="56" t="s">
        <v>711</v>
      </c>
      <c r="B114" s="50" t="s">
        <v>405</v>
      </c>
      <c r="C114" s="33" t="s">
        <v>406</v>
      </c>
      <c r="D114" s="48">
        <v>21995</v>
      </c>
      <c r="E114" s="58" t="str">
        <f t="shared" si="1"/>
        <v>C</v>
      </c>
    </row>
    <row r="115" spans="1:5" x14ac:dyDescent="0.3">
      <c r="A115" s="56" t="s">
        <v>712</v>
      </c>
      <c r="B115" s="50" t="s">
        <v>407</v>
      </c>
      <c r="C115" s="33" t="s">
        <v>408</v>
      </c>
      <c r="D115" s="48">
        <v>21995</v>
      </c>
      <c r="E115" s="58" t="str">
        <f t="shared" si="1"/>
        <v>C</v>
      </c>
    </row>
    <row r="116" spans="1:5" x14ac:dyDescent="0.3">
      <c r="A116" s="56" t="s">
        <v>713</v>
      </c>
      <c r="B116" s="50" t="s">
        <v>409</v>
      </c>
      <c r="C116" s="33" t="s">
        <v>410</v>
      </c>
      <c r="D116" s="48">
        <v>21995</v>
      </c>
      <c r="E116" s="58" t="str">
        <f t="shared" si="1"/>
        <v>C</v>
      </c>
    </row>
    <row r="117" spans="1:5" x14ac:dyDescent="0.3">
      <c r="A117" s="56" t="s">
        <v>714</v>
      </c>
      <c r="B117" s="50" t="s">
        <v>411</v>
      </c>
      <c r="C117" s="33" t="s">
        <v>412</v>
      </c>
      <c r="D117" s="48">
        <v>21995</v>
      </c>
      <c r="E117" s="58" t="str">
        <f t="shared" si="1"/>
        <v>C</v>
      </c>
    </row>
    <row r="118" spans="1:5" x14ac:dyDescent="0.3">
      <c r="A118" s="56" t="s">
        <v>715</v>
      </c>
      <c r="B118" s="50" t="s">
        <v>413</v>
      </c>
      <c r="C118" s="33" t="s">
        <v>414</v>
      </c>
      <c r="D118" s="48">
        <v>21995</v>
      </c>
      <c r="E118" s="58" t="str">
        <f t="shared" si="1"/>
        <v>C</v>
      </c>
    </row>
    <row r="119" spans="1:5" x14ac:dyDescent="0.3">
      <c r="A119" s="56" t="s">
        <v>716</v>
      </c>
      <c r="B119" s="50" t="s">
        <v>415</v>
      </c>
      <c r="C119" s="33" t="s">
        <v>416</v>
      </c>
      <c r="D119" s="48">
        <v>21995</v>
      </c>
      <c r="E119" s="58" t="str">
        <f t="shared" si="1"/>
        <v>C</v>
      </c>
    </row>
    <row r="120" spans="1:5" x14ac:dyDescent="0.3">
      <c r="A120" s="56" t="s">
        <v>717</v>
      </c>
      <c r="B120" s="50" t="s">
        <v>417</v>
      </c>
      <c r="C120" s="33" t="s">
        <v>418</v>
      </c>
      <c r="D120" s="48">
        <v>21995</v>
      </c>
      <c r="E120" s="58" t="str">
        <f t="shared" si="1"/>
        <v>C</v>
      </c>
    </row>
    <row r="121" spans="1:5" x14ac:dyDescent="0.3">
      <c r="A121" s="56" t="s">
        <v>718</v>
      </c>
      <c r="B121" s="50" t="s">
        <v>419</v>
      </c>
      <c r="C121" s="33" t="s">
        <v>420</v>
      </c>
      <c r="D121" s="48">
        <v>21995</v>
      </c>
      <c r="E121" s="58" t="str">
        <f t="shared" si="1"/>
        <v>C</v>
      </c>
    </row>
    <row r="122" spans="1:5" x14ac:dyDescent="0.3">
      <c r="A122" s="56" t="s">
        <v>719</v>
      </c>
      <c r="B122" s="50" t="s">
        <v>421</v>
      </c>
      <c r="C122" s="33" t="s">
        <v>422</v>
      </c>
      <c r="D122" s="48">
        <v>21995</v>
      </c>
      <c r="E122" s="58" t="str">
        <f t="shared" si="1"/>
        <v>C</v>
      </c>
    </row>
    <row r="123" spans="1:5" x14ac:dyDescent="0.3">
      <c r="A123" s="56" t="s">
        <v>720</v>
      </c>
      <c r="B123" s="50" t="s">
        <v>423</v>
      </c>
      <c r="C123" s="33" t="s">
        <v>424</v>
      </c>
      <c r="D123" s="48">
        <v>21995</v>
      </c>
      <c r="E123" s="58" t="str">
        <f t="shared" si="1"/>
        <v>C</v>
      </c>
    </row>
    <row r="124" spans="1:5" x14ac:dyDescent="0.3">
      <c r="A124" s="56" t="s">
        <v>721</v>
      </c>
      <c r="B124" s="50" t="s">
        <v>425</v>
      </c>
      <c r="C124" s="33" t="s">
        <v>426</v>
      </c>
      <c r="D124" s="48">
        <v>21995</v>
      </c>
      <c r="E124" s="58" t="str">
        <f t="shared" si="1"/>
        <v>C</v>
      </c>
    </row>
    <row r="125" spans="1:5" x14ac:dyDescent="0.3">
      <c r="A125" s="56" t="s">
        <v>722</v>
      </c>
      <c r="B125" s="50" t="s">
        <v>427</v>
      </c>
      <c r="C125" s="33" t="s">
        <v>428</v>
      </c>
      <c r="D125" s="48">
        <v>21995</v>
      </c>
      <c r="E125" s="58" t="str">
        <f t="shared" si="1"/>
        <v>C</v>
      </c>
    </row>
    <row r="126" spans="1:5" x14ac:dyDescent="0.3">
      <c r="A126" s="56" t="s">
        <v>723</v>
      </c>
      <c r="B126" s="50" t="s">
        <v>429</v>
      </c>
      <c r="C126" s="33" t="s">
        <v>430</v>
      </c>
      <c r="D126" s="48">
        <v>21995</v>
      </c>
      <c r="E126" s="58" t="str">
        <f t="shared" si="1"/>
        <v>C</v>
      </c>
    </row>
    <row r="127" spans="1:5" x14ac:dyDescent="0.3">
      <c r="A127" s="56" t="s">
        <v>724</v>
      </c>
      <c r="B127" s="50" t="s">
        <v>431</v>
      </c>
      <c r="C127" s="33" t="s">
        <v>432</v>
      </c>
      <c r="D127" s="48">
        <v>21995</v>
      </c>
      <c r="E127" s="58" t="str">
        <f t="shared" si="1"/>
        <v>C</v>
      </c>
    </row>
    <row r="128" spans="1:5" x14ac:dyDescent="0.3">
      <c r="A128" s="56" t="s">
        <v>725</v>
      </c>
      <c r="B128" s="50" t="s">
        <v>433</v>
      </c>
      <c r="C128" s="33" t="s">
        <v>434</v>
      </c>
      <c r="D128" s="48">
        <v>21995</v>
      </c>
      <c r="E128" s="58" t="str">
        <f t="shared" si="1"/>
        <v>C</v>
      </c>
    </row>
    <row r="129" spans="1:5" x14ac:dyDescent="0.3">
      <c r="A129" s="56" t="s">
        <v>726</v>
      </c>
      <c r="B129" s="50" t="s">
        <v>435</v>
      </c>
      <c r="C129" s="33" t="s">
        <v>436</v>
      </c>
      <c r="D129" s="48">
        <v>21995</v>
      </c>
      <c r="E129" s="58" t="str">
        <f t="shared" si="1"/>
        <v>C</v>
      </c>
    </row>
    <row r="130" spans="1:5" x14ac:dyDescent="0.3">
      <c r="A130" s="56" t="s">
        <v>727</v>
      </c>
      <c r="B130" s="50" t="s">
        <v>437</v>
      </c>
      <c r="C130" s="33" t="s">
        <v>438</v>
      </c>
      <c r="D130" s="48">
        <v>21995</v>
      </c>
      <c r="E130" s="58" t="str">
        <f t="shared" si="1"/>
        <v>C</v>
      </c>
    </row>
    <row r="131" spans="1:5" x14ac:dyDescent="0.3">
      <c r="A131" s="56" t="s">
        <v>728</v>
      </c>
      <c r="B131" s="50" t="s">
        <v>439</v>
      </c>
      <c r="C131" s="33" t="s">
        <v>440</v>
      </c>
      <c r="D131" s="48">
        <v>21995</v>
      </c>
      <c r="E131" s="58" t="str">
        <f t="shared" si="1"/>
        <v>C</v>
      </c>
    </row>
    <row r="132" spans="1:5" x14ac:dyDescent="0.3">
      <c r="A132" s="56" t="s">
        <v>729</v>
      </c>
      <c r="B132" s="50" t="s">
        <v>441</v>
      </c>
      <c r="C132" s="33" t="s">
        <v>442</v>
      </c>
      <c r="D132" s="48">
        <v>21995</v>
      </c>
      <c r="E132" s="58" t="str">
        <f t="shared" si="1"/>
        <v>C</v>
      </c>
    </row>
    <row r="133" spans="1:5" x14ac:dyDescent="0.3">
      <c r="A133" s="56" t="s">
        <v>730</v>
      </c>
      <c r="B133" s="50" t="s">
        <v>443</v>
      </c>
      <c r="C133" s="33" t="s">
        <v>444</v>
      </c>
      <c r="D133" s="48">
        <v>21995</v>
      </c>
      <c r="E133" s="58" t="str">
        <f t="shared" ref="E133:E196" si="2">VLOOKUP(D133,$G$4:$H$7,2)</f>
        <v>C</v>
      </c>
    </row>
    <row r="134" spans="1:5" x14ac:dyDescent="0.3">
      <c r="A134" s="56" t="s">
        <v>731</v>
      </c>
      <c r="B134" s="50" t="s">
        <v>445</v>
      </c>
      <c r="C134" s="33" t="s">
        <v>446</v>
      </c>
      <c r="D134" s="48">
        <v>21995</v>
      </c>
      <c r="E134" s="58" t="str">
        <f t="shared" si="2"/>
        <v>C</v>
      </c>
    </row>
    <row r="135" spans="1:5" x14ac:dyDescent="0.3">
      <c r="A135" s="56" t="s">
        <v>732</v>
      </c>
      <c r="B135" s="50" t="s">
        <v>447</v>
      </c>
      <c r="C135" s="33" t="s">
        <v>448</v>
      </c>
      <c r="D135" s="48">
        <v>21995</v>
      </c>
      <c r="E135" s="58" t="str">
        <f t="shared" si="2"/>
        <v>C</v>
      </c>
    </row>
    <row r="136" spans="1:5" x14ac:dyDescent="0.3">
      <c r="A136" s="56" t="s">
        <v>733</v>
      </c>
      <c r="B136" s="50" t="s">
        <v>449</v>
      </c>
      <c r="C136" s="33" t="s">
        <v>450</v>
      </c>
      <c r="D136" s="48">
        <v>21995</v>
      </c>
      <c r="E136" s="58" t="str">
        <f t="shared" si="2"/>
        <v>C</v>
      </c>
    </row>
    <row r="137" spans="1:5" x14ac:dyDescent="0.3">
      <c r="A137" s="54" t="s">
        <v>734</v>
      </c>
      <c r="B137" s="33" t="s">
        <v>504</v>
      </c>
      <c r="C137" s="33" t="s">
        <v>504</v>
      </c>
      <c r="D137" s="32">
        <v>75</v>
      </c>
      <c r="E137" s="58" t="str">
        <f t="shared" si="2"/>
        <v>A</v>
      </c>
    </row>
    <row r="138" spans="1:5" x14ac:dyDescent="0.3">
      <c r="A138" s="56" t="s">
        <v>735</v>
      </c>
      <c r="B138" s="33" t="s">
        <v>2233</v>
      </c>
      <c r="C138" s="49" t="s">
        <v>1967</v>
      </c>
      <c r="D138" s="48">
        <v>4395</v>
      </c>
      <c r="E138" s="58" t="str">
        <f t="shared" si="2"/>
        <v>B</v>
      </c>
    </row>
    <row r="139" spans="1:5" x14ac:dyDescent="0.3">
      <c r="A139" s="56" t="s">
        <v>736</v>
      </c>
      <c r="B139" s="33" t="s">
        <v>2234</v>
      </c>
      <c r="C139" s="49" t="s">
        <v>1968</v>
      </c>
      <c r="D139" s="48">
        <v>4725</v>
      </c>
      <c r="E139" s="58" t="str">
        <f t="shared" si="2"/>
        <v>B</v>
      </c>
    </row>
    <row r="140" spans="1:5" x14ac:dyDescent="0.3">
      <c r="A140" s="56" t="s">
        <v>737</v>
      </c>
      <c r="B140" s="33" t="s">
        <v>2235</v>
      </c>
      <c r="C140" s="49" t="s">
        <v>1969</v>
      </c>
      <c r="D140" s="48">
        <v>4945</v>
      </c>
      <c r="E140" s="58" t="str">
        <f t="shared" si="2"/>
        <v>B</v>
      </c>
    </row>
    <row r="141" spans="1:5" x14ac:dyDescent="0.3">
      <c r="A141" s="56" t="s">
        <v>738</v>
      </c>
      <c r="B141" s="33" t="s">
        <v>2236</v>
      </c>
      <c r="C141" s="49" t="s">
        <v>1970</v>
      </c>
      <c r="D141" s="48">
        <v>5275</v>
      </c>
      <c r="E141" s="58" t="str">
        <f t="shared" si="2"/>
        <v>B</v>
      </c>
    </row>
    <row r="142" spans="1:5" x14ac:dyDescent="0.3">
      <c r="A142" s="54" t="s">
        <v>739</v>
      </c>
      <c r="B142" s="33" t="s">
        <v>2237</v>
      </c>
      <c r="C142" s="33" t="s">
        <v>596</v>
      </c>
      <c r="D142" s="32">
        <v>6045</v>
      </c>
      <c r="E142" s="58" t="str">
        <f t="shared" si="2"/>
        <v>B</v>
      </c>
    </row>
    <row r="143" spans="1:5" x14ac:dyDescent="0.3">
      <c r="A143" s="54" t="s">
        <v>740</v>
      </c>
      <c r="B143" s="33" t="s">
        <v>2238</v>
      </c>
      <c r="C143" s="33" t="s">
        <v>597</v>
      </c>
      <c r="D143" s="32">
        <v>6595</v>
      </c>
      <c r="E143" s="58" t="str">
        <f t="shared" si="2"/>
        <v>B</v>
      </c>
    </row>
    <row r="144" spans="1:5" x14ac:dyDescent="0.3">
      <c r="A144" s="56" t="s">
        <v>741</v>
      </c>
      <c r="B144" s="33" t="s">
        <v>2239</v>
      </c>
      <c r="C144" s="49" t="s">
        <v>1971</v>
      </c>
      <c r="D144" s="48">
        <v>6595</v>
      </c>
      <c r="E144" s="58" t="str">
        <f t="shared" si="2"/>
        <v>B</v>
      </c>
    </row>
    <row r="145" spans="1:5" x14ac:dyDescent="0.3">
      <c r="A145" s="56" t="s">
        <v>742</v>
      </c>
      <c r="B145" s="33" t="s">
        <v>2240</v>
      </c>
      <c r="C145" s="49" t="s">
        <v>1972</v>
      </c>
      <c r="D145" s="48">
        <v>6925</v>
      </c>
      <c r="E145" s="58" t="str">
        <f t="shared" si="2"/>
        <v>B</v>
      </c>
    </row>
    <row r="146" spans="1:5" x14ac:dyDescent="0.3">
      <c r="A146" s="56" t="s">
        <v>743</v>
      </c>
      <c r="B146" s="33" t="s">
        <v>2241</v>
      </c>
      <c r="C146" s="49" t="s">
        <v>1973</v>
      </c>
      <c r="D146" s="48">
        <v>7695</v>
      </c>
      <c r="E146" s="58" t="str">
        <f t="shared" si="2"/>
        <v>B</v>
      </c>
    </row>
    <row r="147" spans="1:5" x14ac:dyDescent="0.3">
      <c r="A147" s="56" t="s">
        <v>744</v>
      </c>
      <c r="B147" s="33" t="s">
        <v>2242</v>
      </c>
      <c r="C147" s="49" t="s">
        <v>1974</v>
      </c>
      <c r="D147" s="48">
        <v>8025</v>
      </c>
      <c r="E147" s="58" t="str">
        <f t="shared" si="2"/>
        <v>B</v>
      </c>
    </row>
    <row r="148" spans="1:5" x14ac:dyDescent="0.3">
      <c r="A148" s="56" t="s">
        <v>745</v>
      </c>
      <c r="B148" s="33" t="s">
        <v>454</v>
      </c>
      <c r="C148" s="49" t="s">
        <v>455</v>
      </c>
      <c r="D148" s="48">
        <v>550</v>
      </c>
      <c r="E148" s="58" t="str">
        <f t="shared" si="2"/>
        <v>A</v>
      </c>
    </row>
    <row r="149" spans="1:5" x14ac:dyDescent="0.3">
      <c r="A149" s="56" t="s">
        <v>746</v>
      </c>
      <c r="B149" s="33" t="s">
        <v>2243</v>
      </c>
      <c r="C149" s="49" t="s">
        <v>451</v>
      </c>
      <c r="D149" s="48">
        <v>2745</v>
      </c>
      <c r="E149" s="58" t="str">
        <f t="shared" si="2"/>
        <v>B</v>
      </c>
    </row>
    <row r="150" spans="1:5" x14ac:dyDescent="0.3">
      <c r="A150" s="54" t="s">
        <v>747</v>
      </c>
      <c r="B150" s="33" t="s">
        <v>2244</v>
      </c>
      <c r="C150" s="33" t="s">
        <v>2245</v>
      </c>
      <c r="D150" s="32">
        <v>1645</v>
      </c>
      <c r="E150" s="58" t="str">
        <f t="shared" si="2"/>
        <v>B</v>
      </c>
    </row>
    <row r="151" spans="1:5" x14ac:dyDescent="0.3">
      <c r="A151" s="54" t="s">
        <v>748</v>
      </c>
      <c r="B151" s="33" t="s">
        <v>2246</v>
      </c>
      <c r="C151" s="33" t="s">
        <v>2247</v>
      </c>
      <c r="D151" s="32">
        <v>2195</v>
      </c>
      <c r="E151" s="58" t="str">
        <f t="shared" si="2"/>
        <v>B</v>
      </c>
    </row>
    <row r="152" spans="1:5" x14ac:dyDescent="0.3">
      <c r="A152" s="56" t="s">
        <v>749</v>
      </c>
      <c r="B152" s="33" t="s">
        <v>505</v>
      </c>
      <c r="C152" s="49" t="s">
        <v>456</v>
      </c>
      <c r="D152" s="48">
        <v>1645</v>
      </c>
      <c r="E152" s="58" t="str">
        <f t="shared" si="2"/>
        <v>B</v>
      </c>
    </row>
    <row r="153" spans="1:5" x14ac:dyDescent="0.3">
      <c r="A153" s="56" t="s">
        <v>750</v>
      </c>
      <c r="B153" s="33" t="s">
        <v>457</v>
      </c>
      <c r="C153" s="49" t="s">
        <v>458</v>
      </c>
      <c r="D153" s="48">
        <v>1975</v>
      </c>
      <c r="E153" s="58" t="str">
        <f t="shared" si="2"/>
        <v>B</v>
      </c>
    </row>
    <row r="154" spans="1:5" x14ac:dyDescent="0.3">
      <c r="A154" s="55" t="s">
        <v>751</v>
      </c>
      <c r="B154" s="33" t="s">
        <v>2229</v>
      </c>
      <c r="C154" s="33" t="s">
        <v>2229</v>
      </c>
      <c r="D154" s="32">
        <v>55</v>
      </c>
      <c r="E154" s="58" t="str">
        <f t="shared" si="2"/>
        <v>A</v>
      </c>
    </row>
    <row r="155" spans="1:5" x14ac:dyDescent="0.3">
      <c r="A155" s="54" t="s">
        <v>752</v>
      </c>
      <c r="B155" s="33" t="s">
        <v>2248</v>
      </c>
      <c r="C155" s="33" t="s">
        <v>1975</v>
      </c>
      <c r="D155" s="32">
        <v>0</v>
      </c>
      <c r="E155" s="58" t="str">
        <f t="shared" si="2"/>
        <v>A</v>
      </c>
    </row>
    <row r="156" spans="1:5" x14ac:dyDescent="0.3">
      <c r="A156" s="56" t="s">
        <v>753</v>
      </c>
      <c r="B156" s="33" t="s">
        <v>452</v>
      </c>
      <c r="C156" s="33" t="s">
        <v>453</v>
      </c>
      <c r="D156" s="48">
        <v>205</v>
      </c>
      <c r="E156" s="58" t="str">
        <f t="shared" si="2"/>
        <v>A</v>
      </c>
    </row>
    <row r="157" spans="1:5" x14ac:dyDescent="0.3">
      <c r="A157" s="53" t="s">
        <v>754</v>
      </c>
      <c r="B157" s="41" t="s">
        <v>351</v>
      </c>
      <c r="C157" s="41" t="s">
        <v>352</v>
      </c>
      <c r="D157" s="48">
        <v>185</v>
      </c>
      <c r="E157" s="58" t="str">
        <f t="shared" si="2"/>
        <v>A</v>
      </c>
    </row>
    <row r="158" spans="1:5" x14ac:dyDescent="0.3">
      <c r="A158" s="54" t="s">
        <v>755</v>
      </c>
      <c r="B158" s="33" t="s">
        <v>500</v>
      </c>
      <c r="C158" s="33" t="s">
        <v>353</v>
      </c>
      <c r="D158" s="32">
        <v>325</v>
      </c>
      <c r="E158" s="58" t="str">
        <f t="shared" si="2"/>
        <v>A</v>
      </c>
    </row>
    <row r="159" spans="1:5" x14ac:dyDescent="0.3">
      <c r="A159" s="54" t="s">
        <v>756</v>
      </c>
      <c r="B159" s="33" t="s">
        <v>501</v>
      </c>
      <c r="C159" s="33" t="s">
        <v>354</v>
      </c>
      <c r="D159" s="32">
        <v>435</v>
      </c>
      <c r="E159" s="58" t="str">
        <f t="shared" si="2"/>
        <v>A</v>
      </c>
    </row>
    <row r="160" spans="1:5" x14ac:dyDescent="0.3">
      <c r="A160" s="53" t="s">
        <v>757</v>
      </c>
      <c r="B160" s="41" t="s">
        <v>355</v>
      </c>
      <c r="C160" s="41" t="s">
        <v>356</v>
      </c>
      <c r="D160" s="48">
        <v>435</v>
      </c>
      <c r="E160" s="58" t="str">
        <f t="shared" si="2"/>
        <v>A</v>
      </c>
    </row>
    <row r="161" spans="1:5" x14ac:dyDescent="0.3">
      <c r="A161" s="53" t="s">
        <v>758</v>
      </c>
      <c r="B161" s="41" t="s">
        <v>357</v>
      </c>
      <c r="C161" s="41" t="s">
        <v>358</v>
      </c>
      <c r="D161" s="48">
        <v>435</v>
      </c>
      <c r="E161" s="58" t="str">
        <f t="shared" si="2"/>
        <v>A</v>
      </c>
    </row>
    <row r="162" spans="1:5" x14ac:dyDescent="0.3">
      <c r="A162" s="53" t="s">
        <v>759</v>
      </c>
      <c r="B162" s="41" t="s">
        <v>359</v>
      </c>
      <c r="C162" s="41" t="s">
        <v>360</v>
      </c>
      <c r="D162" s="48">
        <v>325</v>
      </c>
      <c r="E162" s="58" t="str">
        <f t="shared" si="2"/>
        <v>A</v>
      </c>
    </row>
    <row r="163" spans="1:5" x14ac:dyDescent="0.3">
      <c r="A163" s="53" t="s">
        <v>760</v>
      </c>
      <c r="B163" s="41" t="s">
        <v>544</v>
      </c>
      <c r="C163" s="41" t="s">
        <v>545</v>
      </c>
      <c r="D163" s="48">
        <v>490</v>
      </c>
      <c r="E163" s="58" t="str">
        <f t="shared" si="2"/>
        <v>A</v>
      </c>
    </row>
    <row r="164" spans="1:5" x14ac:dyDescent="0.3">
      <c r="A164" s="53" t="s">
        <v>761</v>
      </c>
      <c r="B164" s="41" t="s">
        <v>592</v>
      </c>
      <c r="C164" s="41" t="s">
        <v>593</v>
      </c>
      <c r="D164" s="48">
        <v>490</v>
      </c>
      <c r="E164" s="58" t="str">
        <f t="shared" si="2"/>
        <v>A</v>
      </c>
    </row>
    <row r="165" spans="1:5" x14ac:dyDescent="0.3">
      <c r="A165" s="53" t="s">
        <v>762</v>
      </c>
      <c r="B165" s="41" t="s">
        <v>361</v>
      </c>
      <c r="C165" s="41" t="s">
        <v>362</v>
      </c>
      <c r="D165" s="48">
        <v>655</v>
      </c>
      <c r="E165" s="58" t="str">
        <f t="shared" si="2"/>
        <v>A</v>
      </c>
    </row>
    <row r="166" spans="1:5" x14ac:dyDescent="0.3">
      <c r="A166" s="53" t="s">
        <v>763</v>
      </c>
      <c r="B166" s="41" t="s">
        <v>546</v>
      </c>
      <c r="C166" s="41" t="s">
        <v>547</v>
      </c>
      <c r="D166" s="48">
        <v>1095</v>
      </c>
      <c r="E166" s="58" t="str">
        <f t="shared" si="2"/>
        <v>B</v>
      </c>
    </row>
    <row r="167" spans="1:5" x14ac:dyDescent="0.3">
      <c r="A167" s="53" t="s">
        <v>764</v>
      </c>
      <c r="B167" s="41" t="s">
        <v>363</v>
      </c>
      <c r="C167" s="41" t="s">
        <v>364</v>
      </c>
      <c r="D167" s="48">
        <v>1315</v>
      </c>
      <c r="E167" s="58" t="str">
        <f t="shared" si="2"/>
        <v>B</v>
      </c>
    </row>
    <row r="168" spans="1:5" x14ac:dyDescent="0.3">
      <c r="A168" s="53" t="s">
        <v>765</v>
      </c>
      <c r="B168" s="41" t="s">
        <v>365</v>
      </c>
      <c r="C168" s="41" t="s">
        <v>366</v>
      </c>
      <c r="D168" s="48">
        <v>1315</v>
      </c>
      <c r="E168" s="58" t="str">
        <f t="shared" si="2"/>
        <v>B</v>
      </c>
    </row>
    <row r="169" spans="1:5" x14ac:dyDescent="0.3">
      <c r="A169" s="53" t="s">
        <v>766</v>
      </c>
      <c r="B169" s="41" t="s">
        <v>1851</v>
      </c>
      <c r="C169" s="41" t="s">
        <v>550</v>
      </c>
      <c r="D169" s="48">
        <v>5495</v>
      </c>
      <c r="E169" s="58" t="str">
        <f t="shared" si="2"/>
        <v>B</v>
      </c>
    </row>
    <row r="170" spans="1:5" x14ac:dyDescent="0.3">
      <c r="A170" s="53" t="s">
        <v>767</v>
      </c>
      <c r="B170" s="41" t="s">
        <v>1852</v>
      </c>
      <c r="C170" s="41" t="s">
        <v>551</v>
      </c>
      <c r="D170" s="48">
        <v>5495</v>
      </c>
      <c r="E170" s="58" t="str">
        <f t="shared" si="2"/>
        <v>B</v>
      </c>
    </row>
    <row r="171" spans="1:5" x14ac:dyDescent="0.3">
      <c r="A171" s="53" t="s">
        <v>768</v>
      </c>
      <c r="B171" s="41" t="s">
        <v>1853</v>
      </c>
      <c r="C171" s="41" t="s">
        <v>552</v>
      </c>
      <c r="D171" s="48">
        <v>5495</v>
      </c>
      <c r="E171" s="58" t="str">
        <f t="shared" si="2"/>
        <v>B</v>
      </c>
    </row>
    <row r="172" spans="1:5" x14ac:dyDescent="0.3">
      <c r="A172" s="53" t="s">
        <v>769</v>
      </c>
      <c r="B172" s="41" t="s">
        <v>1854</v>
      </c>
      <c r="C172" s="41" t="s">
        <v>553</v>
      </c>
      <c r="D172" s="48">
        <v>5495</v>
      </c>
      <c r="E172" s="58" t="str">
        <f t="shared" si="2"/>
        <v>B</v>
      </c>
    </row>
    <row r="173" spans="1:5" x14ac:dyDescent="0.3">
      <c r="A173" s="53" t="s">
        <v>770</v>
      </c>
      <c r="B173" s="41" t="s">
        <v>1855</v>
      </c>
      <c r="C173" s="41" t="s">
        <v>554</v>
      </c>
      <c r="D173" s="48">
        <v>5495</v>
      </c>
      <c r="E173" s="58" t="str">
        <f t="shared" si="2"/>
        <v>B</v>
      </c>
    </row>
    <row r="174" spans="1:5" x14ac:dyDescent="0.3">
      <c r="A174" s="53" t="s">
        <v>771</v>
      </c>
      <c r="B174" s="41" t="s">
        <v>1856</v>
      </c>
      <c r="C174" s="41" t="s">
        <v>555</v>
      </c>
      <c r="D174" s="48">
        <v>5495</v>
      </c>
      <c r="E174" s="58" t="str">
        <f t="shared" si="2"/>
        <v>B</v>
      </c>
    </row>
    <row r="175" spans="1:5" x14ac:dyDescent="0.3">
      <c r="A175" s="53" t="s">
        <v>772</v>
      </c>
      <c r="B175" s="41" t="s">
        <v>1857</v>
      </c>
      <c r="C175" s="41" t="s">
        <v>556</v>
      </c>
      <c r="D175" s="48">
        <v>5495</v>
      </c>
      <c r="E175" s="58" t="str">
        <f t="shared" si="2"/>
        <v>B</v>
      </c>
    </row>
    <row r="176" spans="1:5" x14ac:dyDescent="0.3">
      <c r="A176" s="53" t="s">
        <v>612</v>
      </c>
      <c r="B176" s="41" t="s">
        <v>1858</v>
      </c>
      <c r="C176" s="41" t="s">
        <v>557</v>
      </c>
      <c r="D176" s="48">
        <v>5495</v>
      </c>
      <c r="E176" s="58" t="str">
        <f t="shared" si="2"/>
        <v>B</v>
      </c>
    </row>
    <row r="177" spans="1:5" x14ac:dyDescent="0.3">
      <c r="A177" s="53" t="s">
        <v>773</v>
      </c>
      <c r="B177" s="41" t="s">
        <v>548</v>
      </c>
      <c r="C177" s="41" t="s">
        <v>549</v>
      </c>
      <c r="D177" s="48">
        <v>4395</v>
      </c>
      <c r="E177" s="58" t="str">
        <f t="shared" si="2"/>
        <v>B</v>
      </c>
    </row>
    <row r="178" spans="1:5" x14ac:dyDescent="0.3">
      <c r="A178" s="53" t="s">
        <v>774</v>
      </c>
      <c r="B178" s="41" t="s">
        <v>588</v>
      </c>
      <c r="C178" s="41" t="s">
        <v>589</v>
      </c>
      <c r="D178" s="48">
        <v>5495</v>
      </c>
      <c r="E178" s="58" t="str">
        <f t="shared" si="2"/>
        <v>B</v>
      </c>
    </row>
    <row r="179" spans="1:5" x14ac:dyDescent="0.3">
      <c r="A179" s="54" t="s">
        <v>775</v>
      </c>
      <c r="B179" s="33" t="s">
        <v>367</v>
      </c>
      <c r="C179" s="33" t="s">
        <v>368</v>
      </c>
      <c r="D179" s="48">
        <v>1095</v>
      </c>
      <c r="E179" s="58" t="str">
        <f t="shared" si="2"/>
        <v>B</v>
      </c>
    </row>
    <row r="180" spans="1:5" x14ac:dyDescent="0.3">
      <c r="A180" s="53" t="s">
        <v>776</v>
      </c>
      <c r="B180" s="41" t="s">
        <v>529</v>
      </c>
      <c r="C180" s="41" t="s">
        <v>530</v>
      </c>
      <c r="D180" s="48">
        <v>1370</v>
      </c>
      <c r="E180" s="58" t="str">
        <f t="shared" si="2"/>
        <v>B</v>
      </c>
    </row>
    <row r="181" spans="1:5" x14ac:dyDescent="0.3">
      <c r="A181" s="53" t="s">
        <v>777</v>
      </c>
      <c r="B181" s="41" t="s">
        <v>531</v>
      </c>
      <c r="C181" s="41" t="s">
        <v>532</v>
      </c>
      <c r="D181" s="48">
        <v>2745</v>
      </c>
      <c r="E181" s="58" t="str">
        <f t="shared" si="2"/>
        <v>B</v>
      </c>
    </row>
    <row r="182" spans="1:5" x14ac:dyDescent="0.3">
      <c r="A182" s="54" t="s">
        <v>778</v>
      </c>
      <c r="B182" s="33" t="s">
        <v>502</v>
      </c>
      <c r="C182" s="33" t="s">
        <v>503</v>
      </c>
      <c r="D182" s="32">
        <v>2745</v>
      </c>
      <c r="E182" s="58" t="str">
        <f t="shared" si="2"/>
        <v>B</v>
      </c>
    </row>
    <row r="183" spans="1:5" x14ac:dyDescent="0.3">
      <c r="A183" s="53" t="s">
        <v>779</v>
      </c>
      <c r="B183" s="41" t="s">
        <v>533</v>
      </c>
      <c r="C183" s="41" t="s">
        <v>534</v>
      </c>
      <c r="D183" s="48">
        <v>10995</v>
      </c>
      <c r="E183" s="58" t="str">
        <f t="shared" si="2"/>
        <v>C</v>
      </c>
    </row>
    <row r="184" spans="1:5" x14ac:dyDescent="0.3">
      <c r="A184" s="53" t="s">
        <v>780</v>
      </c>
      <c r="B184" s="41" t="s">
        <v>369</v>
      </c>
      <c r="C184" s="41" t="s">
        <v>370</v>
      </c>
      <c r="D184" s="48">
        <v>17595</v>
      </c>
      <c r="E184" s="58" t="str">
        <f t="shared" si="2"/>
        <v>C</v>
      </c>
    </row>
    <row r="185" spans="1:5" x14ac:dyDescent="0.3">
      <c r="A185" s="56" t="s">
        <v>781</v>
      </c>
      <c r="B185" s="50" t="s">
        <v>371</v>
      </c>
      <c r="C185" s="52" t="s">
        <v>372</v>
      </c>
      <c r="D185" s="48">
        <v>21995</v>
      </c>
      <c r="E185" s="58" t="str">
        <f t="shared" si="2"/>
        <v>C</v>
      </c>
    </row>
    <row r="186" spans="1:5" x14ac:dyDescent="0.3">
      <c r="A186" s="56" t="s">
        <v>782</v>
      </c>
      <c r="B186" s="50" t="s">
        <v>373</v>
      </c>
      <c r="C186" s="33" t="s">
        <v>374</v>
      </c>
      <c r="D186" s="48">
        <v>21995</v>
      </c>
      <c r="E186" s="58" t="str">
        <f t="shared" si="2"/>
        <v>C</v>
      </c>
    </row>
    <row r="187" spans="1:5" x14ac:dyDescent="0.3">
      <c r="A187" s="56" t="s">
        <v>783</v>
      </c>
      <c r="B187" s="50" t="s">
        <v>375</v>
      </c>
      <c r="C187" s="33" t="s">
        <v>376</v>
      </c>
      <c r="D187" s="48">
        <v>21995</v>
      </c>
      <c r="E187" s="58" t="str">
        <f t="shared" si="2"/>
        <v>C</v>
      </c>
    </row>
    <row r="188" spans="1:5" x14ac:dyDescent="0.3">
      <c r="A188" s="56" t="s">
        <v>784</v>
      </c>
      <c r="B188" s="50" t="s">
        <v>377</v>
      </c>
      <c r="C188" s="33" t="s">
        <v>378</v>
      </c>
      <c r="D188" s="48">
        <v>21995</v>
      </c>
      <c r="E188" s="58" t="str">
        <f t="shared" si="2"/>
        <v>C</v>
      </c>
    </row>
    <row r="189" spans="1:5" x14ac:dyDescent="0.3">
      <c r="A189" s="56" t="s">
        <v>785</v>
      </c>
      <c r="B189" s="50" t="s">
        <v>379</v>
      </c>
      <c r="C189" s="33" t="s">
        <v>380</v>
      </c>
      <c r="D189" s="48">
        <v>21995</v>
      </c>
      <c r="E189" s="58" t="str">
        <f t="shared" si="2"/>
        <v>C</v>
      </c>
    </row>
    <row r="190" spans="1:5" x14ac:dyDescent="0.3">
      <c r="A190" s="56" t="s">
        <v>786</v>
      </c>
      <c r="B190" s="50" t="s">
        <v>381</v>
      </c>
      <c r="C190" s="33" t="s">
        <v>382</v>
      </c>
      <c r="D190" s="48">
        <v>21995</v>
      </c>
      <c r="E190" s="58" t="str">
        <f t="shared" si="2"/>
        <v>C</v>
      </c>
    </row>
    <row r="191" spans="1:5" x14ac:dyDescent="0.3">
      <c r="A191" s="56" t="s">
        <v>787</v>
      </c>
      <c r="B191" s="50" t="s">
        <v>383</v>
      </c>
      <c r="C191" s="33" t="s">
        <v>384</v>
      </c>
      <c r="D191" s="48">
        <v>21995</v>
      </c>
      <c r="E191" s="58" t="str">
        <f t="shared" si="2"/>
        <v>C</v>
      </c>
    </row>
    <row r="192" spans="1:5" x14ac:dyDescent="0.3">
      <c r="A192" s="56" t="s">
        <v>788</v>
      </c>
      <c r="B192" s="50" t="s">
        <v>385</v>
      </c>
      <c r="C192" s="33" t="s">
        <v>386</v>
      </c>
      <c r="D192" s="48">
        <v>21995</v>
      </c>
      <c r="E192" s="58" t="str">
        <f t="shared" si="2"/>
        <v>C</v>
      </c>
    </row>
    <row r="193" spans="1:5" x14ac:dyDescent="0.3">
      <c r="A193" s="56" t="s">
        <v>789</v>
      </c>
      <c r="B193" s="50" t="s">
        <v>387</v>
      </c>
      <c r="C193" s="33" t="s">
        <v>388</v>
      </c>
      <c r="D193" s="48">
        <v>21995</v>
      </c>
      <c r="E193" s="58" t="str">
        <f t="shared" si="2"/>
        <v>C</v>
      </c>
    </row>
    <row r="194" spans="1:5" x14ac:dyDescent="0.3">
      <c r="A194" s="56" t="s">
        <v>790</v>
      </c>
      <c r="B194" s="50" t="s">
        <v>389</v>
      </c>
      <c r="C194" s="33" t="s">
        <v>390</v>
      </c>
      <c r="D194" s="48">
        <v>21995</v>
      </c>
      <c r="E194" s="58" t="str">
        <f t="shared" si="2"/>
        <v>C</v>
      </c>
    </row>
    <row r="195" spans="1:5" x14ac:dyDescent="0.3">
      <c r="A195" s="56" t="s">
        <v>791</v>
      </c>
      <c r="B195" s="50" t="s">
        <v>391</v>
      </c>
      <c r="C195" s="33" t="s">
        <v>392</v>
      </c>
      <c r="D195" s="48">
        <v>21995</v>
      </c>
      <c r="E195" s="58" t="str">
        <f t="shared" si="2"/>
        <v>C</v>
      </c>
    </row>
    <row r="196" spans="1:5" x14ac:dyDescent="0.3">
      <c r="A196" s="56" t="s">
        <v>792</v>
      </c>
      <c r="B196" s="50" t="s">
        <v>393</v>
      </c>
      <c r="C196" s="33" t="s">
        <v>394</v>
      </c>
      <c r="D196" s="48">
        <v>21995</v>
      </c>
      <c r="E196" s="58" t="str">
        <f t="shared" si="2"/>
        <v>C</v>
      </c>
    </row>
    <row r="197" spans="1:5" x14ac:dyDescent="0.3">
      <c r="A197" s="56" t="s">
        <v>793</v>
      </c>
      <c r="B197" s="50" t="s">
        <v>395</v>
      </c>
      <c r="C197" s="33" t="s">
        <v>396</v>
      </c>
      <c r="D197" s="48">
        <v>21995</v>
      </c>
      <c r="E197" s="58" t="str">
        <f t="shared" ref="E197:E260" si="3">VLOOKUP(D197,$G$4:$H$7,2)</f>
        <v>C</v>
      </c>
    </row>
    <row r="198" spans="1:5" x14ac:dyDescent="0.3">
      <c r="A198" s="56" t="s">
        <v>794</v>
      </c>
      <c r="B198" s="50" t="s">
        <v>397</v>
      </c>
      <c r="C198" s="33" t="s">
        <v>398</v>
      </c>
      <c r="D198" s="48">
        <v>21995</v>
      </c>
      <c r="E198" s="58" t="str">
        <f t="shared" si="3"/>
        <v>C</v>
      </c>
    </row>
    <row r="199" spans="1:5" x14ac:dyDescent="0.3">
      <c r="A199" s="56" t="s">
        <v>795</v>
      </c>
      <c r="B199" s="50" t="s">
        <v>399</v>
      </c>
      <c r="C199" s="33" t="s">
        <v>400</v>
      </c>
      <c r="D199" s="48">
        <v>21995</v>
      </c>
      <c r="E199" s="58" t="str">
        <f t="shared" si="3"/>
        <v>C</v>
      </c>
    </row>
    <row r="200" spans="1:5" x14ac:dyDescent="0.3">
      <c r="A200" s="56" t="s">
        <v>796</v>
      </c>
      <c r="B200" s="50" t="s">
        <v>401</v>
      </c>
      <c r="C200" s="33" t="s">
        <v>402</v>
      </c>
      <c r="D200" s="48">
        <v>21995</v>
      </c>
      <c r="E200" s="58" t="str">
        <f t="shared" si="3"/>
        <v>C</v>
      </c>
    </row>
    <row r="201" spans="1:5" x14ac:dyDescent="0.3">
      <c r="A201" s="56" t="s">
        <v>797</v>
      </c>
      <c r="B201" s="50" t="s">
        <v>403</v>
      </c>
      <c r="C201" s="33" t="s">
        <v>404</v>
      </c>
      <c r="D201" s="48">
        <v>21995</v>
      </c>
      <c r="E201" s="58" t="str">
        <f t="shared" si="3"/>
        <v>C</v>
      </c>
    </row>
    <row r="202" spans="1:5" x14ac:dyDescent="0.3">
      <c r="A202" s="56" t="s">
        <v>798</v>
      </c>
      <c r="B202" s="50" t="s">
        <v>405</v>
      </c>
      <c r="C202" s="33" t="s">
        <v>406</v>
      </c>
      <c r="D202" s="48">
        <v>21995</v>
      </c>
      <c r="E202" s="58" t="str">
        <f t="shared" si="3"/>
        <v>C</v>
      </c>
    </row>
    <row r="203" spans="1:5" x14ac:dyDescent="0.3">
      <c r="A203" s="56" t="s">
        <v>799</v>
      </c>
      <c r="B203" s="50" t="s">
        <v>407</v>
      </c>
      <c r="C203" s="33" t="s">
        <v>408</v>
      </c>
      <c r="D203" s="48">
        <v>21995</v>
      </c>
      <c r="E203" s="58" t="str">
        <f t="shared" si="3"/>
        <v>C</v>
      </c>
    </row>
    <row r="204" spans="1:5" x14ac:dyDescent="0.3">
      <c r="A204" s="56" t="s">
        <v>800</v>
      </c>
      <c r="B204" s="50" t="s">
        <v>409</v>
      </c>
      <c r="C204" s="33" t="s">
        <v>410</v>
      </c>
      <c r="D204" s="48">
        <v>21995</v>
      </c>
      <c r="E204" s="58" t="str">
        <f t="shared" si="3"/>
        <v>C</v>
      </c>
    </row>
    <row r="205" spans="1:5" x14ac:dyDescent="0.3">
      <c r="A205" s="56" t="s">
        <v>801</v>
      </c>
      <c r="B205" s="50" t="s">
        <v>411</v>
      </c>
      <c r="C205" s="33" t="s">
        <v>412</v>
      </c>
      <c r="D205" s="48">
        <v>21995</v>
      </c>
      <c r="E205" s="58" t="str">
        <f t="shared" si="3"/>
        <v>C</v>
      </c>
    </row>
    <row r="206" spans="1:5" x14ac:dyDescent="0.3">
      <c r="A206" s="56" t="s">
        <v>802</v>
      </c>
      <c r="B206" s="50" t="s">
        <v>413</v>
      </c>
      <c r="C206" s="33" t="s">
        <v>414</v>
      </c>
      <c r="D206" s="48">
        <v>21995</v>
      </c>
      <c r="E206" s="58" t="str">
        <f t="shared" si="3"/>
        <v>C</v>
      </c>
    </row>
    <row r="207" spans="1:5" x14ac:dyDescent="0.3">
      <c r="A207" s="56" t="s">
        <v>803</v>
      </c>
      <c r="B207" s="50" t="s">
        <v>415</v>
      </c>
      <c r="C207" s="33" t="s">
        <v>416</v>
      </c>
      <c r="D207" s="48">
        <v>21995</v>
      </c>
      <c r="E207" s="58" t="str">
        <f t="shared" si="3"/>
        <v>C</v>
      </c>
    </row>
    <row r="208" spans="1:5" x14ac:dyDescent="0.3">
      <c r="A208" s="56" t="s">
        <v>804</v>
      </c>
      <c r="B208" s="50" t="s">
        <v>417</v>
      </c>
      <c r="C208" s="33" t="s">
        <v>418</v>
      </c>
      <c r="D208" s="48">
        <v>21995</v>
      </c>
      <c r="E208" s="58" t="str">
        <f t="shared" si="3"/>
        <v>C</v>
      </c>
    </row>
    <row r="209" spans="1:5" x14ac:dyDescent="0.3">
      <c r="A209" s="56" t="s">
        <v>805</v>
      </c>
      <c r="B209" s="50" t="s">
        <v>419</v>
      </c>
      <c r="C209" s="33" t="s">
        <v>420</v>
      </c>
      <c r="D209" s="48">
        <v>21995</v>
      </c>
      <c r="E209" s="58" t="str">
        <f t="shared" si="3"/>
        <v>C</v>
      </c>
    </row>
    <row r="210" spans="1:5" x14ac:dyDescent="0.3">
      <c r="A210" s="56" t="s">
        <v>806</v>
      </c>
      <c r="B210" s="50" t="s">
        <v>421</v>
      </c>
      <c r="C210" s="33" t="s">
        <v>422</v>
      </c>
      <c r="D210" s="48">
        <v>21995</v>
      </c>
      <c r="E210" s="58" t="str">
        <f t="shared" si="3"/>
        <v>C</v>
      </c>
    </row>
    <row r="211" spans="1:5" x14ac:dyDescent="0.3">
      <c r="A211" s="56" t="s">
        <v>807</v>
      </c>
      <c r="B211" s="50" t="s">
        <v>423</v>
      </c>
      <c r="C211" s="33" t="s">
        <v>424</v>
      </c>
      <c r="D211" s="48">
        <v>21995</v>
      </c>
      <c r="E211" s="58" t="str">
        <f t="shared" si="3"/>
        <v>C</v>
      </c>
    </row>
    <row r="212" spans="1:5" x14ac:dyDescent="0.3">
      <c r="A212" s="56" t="s">
        <v>808</v>
      </c>
      <c r="B212" s="50" t="s">
        <v>425</v>
      </c>
      <c r="C212" s="33" t="s">
        <v>426</v>
      </c>
      <c r="D212" s="48">
        <v>21995</v>
      </c>
      <c r="E212" s="58" t="str">
        <f t="shared" si="3"/>
        <v>C</v>
      </c>
    </row>
    <row r="213" spans="1:5" x14ac:dyDescent="0.3">
      <c r="A213" s="56" t="s">
        <v>809</v>
      </c>
      <c r="B213" s="50" t="s">
        <v>427</v>
      </c>
      <c r="C213" s="33" t="s">
        <v>428</v>
      </c>
      <c r="D213" s="48">
        <v>21995</v>
      </c>
      <c r="E213" s="58" t="str">
        <f t="shared" si="3"/>
        <v>C</v>
      </c>
    </row>
    <row r="214" spans="1:5" x14ac:dyDescent="0.3">
      <c r="A214" s="56" t="s">
        <v>810</v>
      </c>
      <c r="B214" s="50" t="s">
        <v>429</v>
      </c>
      <c r="C214" s="33" t="s">
        <v>430</v>
      </c>
      <c r="D214" s="48">
        <v>21995</v>
      </c>
      <c r="E214" s="58" t="str">
        <f t="shared" si="3"/>
        <v>C</v>
      </c>
    </row>
    <row r="215" spans="1:5" x14ac:dyDescent="0.3">
      <c r="A215" s="56" t="s">
        <v>811</v>
      </c>
      <c r="B215" s="50" t="s">
        <v>431</v>
      </c>
      <c r="C215" s="33" t="s">
        <v>432</v>
      </c>
      <c r="D215" s="48">
        <v>21995</v>
      </c>
      <c r="E215" s="58" t="str">
        <f t="shared" si="3"/>
        <v>C</v>
      </c>
    </row>
    <row r="216" spans="1:5" x14ac:dyDescent="0.3">
      <c r="A216" s="56" t="s">
        <v>812</v>
      </c>
      <c r="B216" s="50" t="s">
        <v>433</v>
      </c>
      <c r="C216" s="33" t="s">
        <v>434</v>
      </c>
      <c r="D216" s="48">
        <v>21995</v>
      </c>
      <c r="E216" s="58" t="str">
        <f t="shared" si="3"/>
        <v>C</v>
      </c>
    </row>
    <row r="217" spans="1:5" x14ac:dyDescent="0.3">
      <c r="A217" s="56" t="s">
        <v>813</v>
      </c>
      <c r="B217" s="50" t="s">
        <v>435</v>
      </c>
      <c r="C217" s="33" t="s">
        <v>436</v>
      </c>
      <c r="D217" s="48">
        <v>21995</v>
      </c>
      <c r="E217" s="58" t="str">
        <f t="shared" si="3"/>
        <v>C</v>
      </c>
    </row>
    <row r="218" spans="1:5" x14ac:dyDescent="0.3">
      <c r="A218" s="56" t="s">
        <v>814</v>
      </c>
      <c r="B218" s="50" t="s">
        <v>437</v>
      </c>
      <c r="C218" s="33" t="s">
        <v>438</v>
      </c>
      <c r="D218" s="48">
        <v>21995</v>
      </c>
      <c r="E218" s="58" t="str">
        <f t="shared" si="3"/>
        <v>C</v>
      </c>
    </row>
    <row r="219" spans="1:5" x14ac:dyDescent="0.3">
      <c r="A219" s="56" t="s">
        <v>815</v>
      </c>
      <c r="B219" s="50" t="s">
        <v>439</v>
      </c>
      <c r="C219" s="33" t="s">
        <v>440</v>
      </c>
      <c r="D219" s="48">
        <v>21995</v>
      </c>
      <c r="E219" s="58" t="str">
        <f t="shared" si="3"/>
        <v>C</v>
      </c>
    </row>
    <row r="220" spans="1:5" x14ac:dyDescent="0.3">
      <c r="A220" s="56" t="s">
        <v>816</v>
      </c>
      <c r="B220" s="50" t="s">
        <v>441</v>
      </c>
      <c r="C220" s="33" t="s">
        <v>442</v>
      </c>
      <c r="D220" s="48">
        <v>21995</v>
      </c>
      <c r="E220" s="58" t="str">
        <f t="shared" si="3"/>
        <v>C</v>
      </c>
    </row>
    <row r="221" spans="1:5" x14ac:dyDescent="0.3">
      <c r="A221" s="56" t="s">
        <v>817</v>
      </c>
      <c r="B221" s="50" t="s">
        <v>443</v>
      </c>
      <c r="C221" s="33" t="s">
        <v>444</v>
      </c>
      <c r="D221" s="48">
        <v>21995</v>
      </c>
      <c r="E221" s="58" t="str">
        <f t="shared" si="3"/>
        <v>C</v>
      </c>
    </row>
    <row r="222" spans="1:5" x14ac:dyDescent="0.3">
      <c r="A222" s="56" t="s">
        <v>818</v>
      </c>
      <c r="B222" s="50" t="s">
        <v>445</v>
      </c>
      <c r="C222" s="33" t="s">
        <v>446</v>
      </c>
      <c r="D222" s="48">
        <v>21995</v>
      </c>
      <c r="E222" s="58" t="str">
        <f t="shared" si="3"/>
        <v>C</v>
      </c>
    </row>
    <row r="223" spans="1:5" x14ac:dyDescent="0.3">
      <c r="A223" s="56" t="s">
        <v>819</v>
      </c>
      <c r="B223" s="50" t="s">
        <v>447</v>
      </c>
      <c r="C223" s="33" t="s">
        <v>448</v>
      </c>
      <c r="D223" s="48">
        <v>21995</v>
      </c>
      <c r="E223" s="58" t="str">
        <f t="shared" si="3"/>
        <v>C</v>
      </c>
    </row>
    <row r="224" spans="1:5" x14ac:dyDescent="0.3">
      <c r="A224" s="56" t="s">
        <v>820</v>
      </c>
      <c r="B224" s="50" t="s">
        <v>449</v>
      </c>
      <c r="C224" s="33" t="s">
        <v>450</v>
      </c>
      <c r="D224" s="48">
        <v>21995</v>
      </c>
      <c r="E224" s="58" t="str">
        <f t="shared" si="3"/>
        <v>C</v>
      </c>
    </row>
    <row r="225" spans="1:5" x14ac:dyDescent="0.3">
      <c r="A225" s="53" t="s">
        <v>821</v>
      </c>
      <c r="B225" s="41" t="s">
        <v>1911</v>
      </c>
      <c r="C225" s="41" t="s">
        <v>1912</v>
      </c>
      <c r="D225" s="48">
        <v>4945</v>
      </c>
      <c r="E225" s="58" t="str">
        <f t="shared" si="3"/>
        <v>B</v>
      </c>
    </row>
    <row r="226" spans="1:5" x14ac:dyDescent="0.3">
      <c r="A226" s="53" t="s">
        <v>822</v>
      </c>
      <c r="B226" s="41" t="s">
        <v>1913</v>
      </c>
      <c r="C226" s="41" t="s">
        <v>1914</v>
      </c>
      <c r="D226" s="48">
        <v>6045</v>
      </c>
      <c r="E226" s="58" t="str">
        <f t="shared" si="3"/>
        <v>B</v>
      </c>
    </row>
    <row r="227" spans="1:5" x14ac:dyDescent="0.3">
      <c r="A227" s="53" t="s">
        <v>823</v>
      </c>
      <c r="B227" s="41" t="s">
        <v>1915</v>
      </c>
      <c r="C227" s="41" t="s">
        <v>1916</v>
      </c>
      <c r="D227" s="48">
        <v>5275</v>
      </c>
      <c r="E227" s="58" t="str">
        <f t="shared" si="3"/>
        <v>B</v>
      </c>
    </row>
    <row r="228" spans="1:5" x14ac:dyDescent="0.3">
      <c r="A228" s="53" t="s">
        <v>824</v>
      </c>
      <c r="B228" s="41" t="s">
        <v>1915</v>
      </c>
      <c r="C228" s="41" t="s">
        <v>1916</v>
      </c>
      <c r="D228" s="48">
        <v>6375</v>
      </c>
      <c r="E228" s="58" t="str">
        <f t="shared" si="3"/>
        <v>B</v>
      </c>
    </row>
    <row r="229" spans="1:5" x14ac:dyDescent="0.3">
      <c r="A229" s="53" t="s">
        <v>825</v>
      </c>
      <c r="B229" s="41" t="s">
        <v>1917</v>
      </c>
      <c r="C229" s="41" t="s">
        <v>1918</v>
      </c>
      <c r="D229" s="48">
        <v>7695</v>
      </c>
      <c r="E229" s="58" t="str">
        <f t="shared" si="3"/>
        <v>B</v>
      </c>
    </row>
    <row r="230" spans="1:5" x14ac:dyDescent="0.3">
      <c r="A230" s="53" t="s">
        <v>826</v>
      </c>
      <c r="B230" s="41" t="s">
        <v>1919</v>
      </c>
      <c r="C230" s="41" t="s">
        <v>1918</v>
      </c>
      <c r="D230" s="48">
        <v>8795</v>
      </c>
      <c r="E230" s="58" t="str">
        <f t="shared" si="3"/>
        <v>B</v>
      </c>
    </row>
    <row r="231" spans="1:5" x14ac:dyDescent="0.3">
      <c r="A231" s="53" t="s">
        <v>827</v>
      </c>
      <c r="B231" s="41" t="s">
        <v>1920</v>
      </c>
      <c r="C231" s="41" t="s">
        <v>1921</v>
      </c>
      <c r="D231" s="48">
        <v>8025</v>
      </c>
      <c r="E231" s="58" t="str">
        <f t="shared" si="3"/>
        <v>B</v>
      </c>
    </row>
    <row r="232" spans="1:5" x14ac:dyDescent="0.3">
      <c r="A232" s="53" t="s">
        <v>828</v>
      </c>
      <c r="B232" s="41" t="s">
        <v>1922</v>
      </c>
      <c r="C232" s="41" t="s">
        <v>1923</v>
      </c>
      <c r="D232" s="48">
        <v>9125</v>
      </c>
      <c r="E232" s="58" t="str">
        <f t="shared" si="3"/>
        <v>B</v>
      </c>
    </row>
    <row r="233" spans="1:5" x14ac:dyDescent="0.3">
      <c r="A233" s="53" t="s">
        <v>829</v>
      </c>
      <c r="B233" s="41" t="s">
        <v>1924</v>
      </c>
      <c r="C233" s="41" t="s">
        <v>1925</v>
      </c>
      <c r="D233" s="48">
        <v>9345</v>
      </c>
      <c r="E233" s="58" t="str">
        <f t="shared" si="3"/>
        <v>B</v>
      </c>
    </row>
    <row r="234" spans="1:5" x14ac:dyDescent="0.3">
      <c r="A234" s="53" t="s">
        <v>830</v>
      </c>
      <c r="B234" s="41" t="s">
        <v>1926</v>
      </c>
      <c r="C234" s="41" t="s">
        <v>1927</v>
      </c>
      <c r="D234" s="48">
        <v>10445</v>
      </c>
      <c r="E234" s="58" t="str">
        <f t="shared" si="3"/>
        <v>C</v>
      </c>
    </row>
    <row r="235" spans="1:5" x14ac:dyDescent="0.3">
      <c r="A235" s="53" t="s">
        <v>831</v>
      </c>
      <c r="B235" s="41" t="s">
        <v>1928</v>
      </c>
      <c r="C235" s="41" t="s">
        <v>1929</v>
      </c>
      <c r="D235" s="48">
        <v>9675</v>
      </c>
      <c r="E235" s="58" t="str">
        <f t="shared" si="3"/>
        <v>B</v>
      </c>
    </row>
    <row r="236" spans="1:5" x14ac:dyDescent="0.3">
      <c r="A236" s="53" t="s">
        <v>832</v>
      </c>
      <c r="B236" s="41" t="s">
        <v>1930</v>
      </c>
      <c r="C236" s="41" t="s">
        <v>1931</v>
      </c>
      <c r="D236" s="48">
        <v>10775</v>
      </c>
      <c r="E236" s="58" t="str">
        <f t="shared" si="3"/>
        <v>C</v>
      </c>
    </row>
    <row r="237" spans="1:5" x14ac:dyDescent="0.3">
      <c r="A237" s="53" t="s">
        <v>833</v>
      </c>
      <c r="B237" s="41" t="s">
        <v>1932</v>
      </c>
      <c r="C237" s="41" t="s">
        <v>1914</v>
      </c>
      <c r="D237" s="48">
        <v>8795</v>
      </c>
      <c r="E237" s="58" t="str">
        <f t="shared" si="3"/>
        <v>B</v>
      </c>
    </row>
    <row r="238" spans="1:5" x14ac:dyDescent="0.3">
      <c r="A238" s="53" t="s">
        <v>834</v>
      </c>
      <c r="B238" s="41" t="s">
        <v>1933</v>
      </c>
      <c r="C238" s="41" t="s">
        <v>1914</v>
      </c>
      <c r="D238" s="48">
        <v>10445</v>
      </c>
      <c r="E238" s="58" t="str">
        <f t="shared" si="3"/>
        <v>C</v>
      </c>
    </row>
    <row r="239" spans="1:5" x14ac:dyDescent="0.3">
      <c r="A239" s="53" t="s">
        <v>835</v>
      </c>
      <c r="B239" s="41" t="s">
        <v>1934</v>
      </c>
      <c r="C239" s="41" t="s">
        <v>1935</v>
      </c>
      <c r="D239" s="48">
        <v>9125</v>
      </c>
      <c r="E239" s="58" t="str">
        <f t="shared" si="3"/>
        <v>B</v>
      </c>
    </row>
    <row r="240" spans="1:5" x14ac:dyDescent="0.3">
      <c r="A240" s="53" t="s">
        <v>836</v>
      </c>
      <c r="B240" s="41" t="s">
        <v>1936</v>
      </c>
      <c r="C240" s="41" t="s">
        <v>1937</v>
      </c>
      <c r="D240" s="48">
        <v>10775</v>
      </c>
      <c r="E240" s="58" t="str">
        <f t="shared" si="3"/>
        <v>C</v>
      </c>
    </row>
    <row r="241" spans="1:5" x14ac:dyDescent="0.3">
      <c r="A241" s="53" t="s">
        <v>837</v>
      </c>
      <c r="B241" s="41" t="s">
        <v>1938</v>
      </c>
      <c r="C241" s="41" t="s">
        <v>1939</v>
      </c>
      <c r="D241" s="48">
        <v>11545</v>
      </c>
      <c r="E241" s="58" t="str">
        <f t="shared" si="3"/>
        <v>C</v>
      </c>
    </row>
    <row r="242" spans="1:5" x14ac:dyDescent="0.3">
      <c r="A242" s="53" t="s">
        <v>838</v>
      </c>
      <c r="B242" s="41" t="s">
        <v>1940</v>
      </c>
      <c r="C242" s="41" t="s">
        <v>1941</v>
      </c>
      <c r="D242" s="48">
        <v>11875</v>
      </c>
      <c r="E242" s="58" t="str">
        <f t="shared" si="3"/>
        <v>C</v>
      </c>
    </row>
    <row r="243" spans="1:5" x14ac:dyDescent="0.3">
      <c r="A243" s="53" t="s">
        <v>839</v>
      </c>
      <c r="B243" s="41" t="s">
        <v>1942</v>
      </c>
      <c r="C243" s="41" t="s">
        <v>1939</v>
      </c>
      <c r="D243" s="48">
        <v>13195</v>
      </c>
      <c r="E243" s="58" t="str">
        <f t="shared" si="3"/>
        <v>C</v>
      </c>
    </row>
    <row r="244" spans="1:5" x14ac:dyDescent="0.3">
      <c r="A244" s="53" t="s">
        <v>840</v>
      </c>
      <c r="B244" s="41" t="s">
        <v>1940</v>
      </c>
      <c r="C244" s="41" t="s">
        <v>1941</v>
      </c>
      <c r="D244" s="48">
        <v>13525</v>
      </c>
      <c r="E244" s="58" t="str">
        <f t="shared" si="3"/>
        <v>C</v>
      </c>
    </row>
    <row r="245" spans="1:5" x14ac:dyDescent="0.3">
      <c r="A245" s="53" t="s">
        <v>841</v>
      </c>
      <c r="B245" s="41" t="s">
        <v>1943</v>
      </c>
      <c r="C245" s="41" t="s">
        <v>1925</v>
      </c>
      <c r="D245" s="48">
        <v>13195</v>
      </c>
      <c r="E245" s="58" t="str">
        <f t="shared" si="3"/>
        <v>C</v>
      </c>
    </row>
    <row r="246" spans="1:5" x14ac:dyDescent="0.3">
      <c r="A246" s="53" t="s">
        <v>842</v>
      </c>
      <c r="B246" s="41" t="s">
        <v>1944</v>
      </c>
      <c r="C246" s="41" t="s">
        <v>1925</v>
      </c>
      <c r="D246" s="48">
        <v>14845</v>
      </c>
      <c r="E246" s="58" t="str">
        <f t="shared" si="3"/>
        <v>C</v>
      </c>
    </row>
    <row r="247" spans="1:5" x14ac:dyDescent="0.3">
      <c r="A247" s="53" t="s">
        <v>843</v>
      </c>
      <c r="B247" s="41" t="s">
        <v>1945</v>
      </c>
      <c r="C247" s="41" t="s">
        <v>1946</v>
      </c>
      <c r="D247" s="48">
        <v>9145</v>
      </c>
      <c r="E247" s="58" t="str">
        <f t="shared" si="3"/>
        <v>B</v>
      </c>
    </row>
    <row r="248" spans="1:5" x14ac:dyDescent="0.3">
      <c r="A248" s="53" t="s">
        <v>844</v>
      </c>
      <c r="B248" s="41" t="s">
        <v>1945</v>
      </c>
      <c r="C248" s="41" t="s">
        <v>1947</v>
      </c>
      <c r="D248" s="48">
        <v>15175</v>
      </c>
      <c r="E248" s="58" t="str">
        <f t="shared" si="3"/>
        <v>C</v>
      </c>
    </row>
    <row r="249" spans="1:5" x14ac:dyDescent="0.3">
      <c r="A249" s="53" t="s">
        <v>845</v>
      </c>
      <c r="B249" s="41" t="s">
        <v>1948</v>
      </c>
      <c r="C249" s="41" t="s">
        <v>1949</v>
      </c>
      <c r="D249" s="48">
        <v>10995</v>
      </c>
      <c r="E249" s="58" t="str">
        <f t="shared" si="3"/>
        <v>C</v>
      </c>
    </row>
    <row r="250" spans="1:5" x14ac:dyDescent="0.3">
      <c r="A250" s="53" t="s">
        <v>846</v>
      </c>
      <c r="B250" s="41" t="s">
        <v>1948</v>
      </c>
      <c r="C250" s="41" t="s">
        <v>1949</v>
      </c>
      <c r="D250" s="48">
        <v>12095</v>
      </c>
      <c r="E250" s="58" t="str">
        <f t="shared" si="3"/>
        <v>C</v>
      </c>
    </row>
    <row r="251" spans="1:5" x14ac:dyDescent="0.3">
      <c r="A251" s="53" t="s">
        <v>847</v>
      </c>
      <c r="B251" s="41" t="s">
        <v>1950</v>
      </c>
      <c r="C251" s="41" t="s">
        <v>1951</v>
      </c>
      <c r="D251" s="48">
        <v>11325</v>
      </c>
      <c r="E251" s="58" t="str">
        <f t="shared" si="3"/>
        <v>C</v>
      </c>
    </row>
    <row r="252" spans="1:5" x14ac:dyDescent="0.3">
      <c r="A252" s="53" t="s">
        <v>848</v>
      </c>
      <c r="B252" s="41" t="s">
        <v>1950</v>
      </c>
      <c r="C252" s="41" t="s">
        <v>1951</v>
      </c>
      <c r="D252" s="48">
        <v>12425</v>
      </c>
      <c r="E252" s="58" t="str">
        <f t="shared" si="3"/>
        <v>C</v>
      </c>
    </row>
    <row r="253" spans="1:5" x14ac:dyDescent="0.3">
      <c r="A253" s="53" t="s">
        <v>849</v>
      </c>
      <c r="B253" s="41" t="s">
        <v>1952</v>
      </c>
      <c r="C253" s="41" t="s">
        <v>1953</v>
      </c>
      <c r="D253" s="48">
        <v>13745</v>
      </c>
      <c r="E253" s="58" t="str">
        <f t="shared" si="3"/>
        <v>C</v>
      </c>
    </row>
    <row r="254" spans="1:5" x14ac:dyDescent="0.3">
      <c r="A254" s="53" t="s">
        <v>850</v>
      </c>
      <c r="B254" s="41" t="s">
        <v>1954</v>
      </c>
      <c r="C254" s="41" t="s">
        <v>1955</v>
      </c>
      <c r="D254" s="48">
        <v>14845</v>
      </c>
      <c r="E254" s="58" t="str">
        <f t="shared" si="3"/>
        <v>C</v>
      </c>
    </row>
    <row r="255" spans="1:5" x14ac:dyDescent="0.3">
      <c r="A255" s="53" t="s">
        <v>851</v>
      </c>
      <c r="B255" s="41" t="s">
        <v>1956</v>
      </c>
      <c r="C255" s="41" t="s">
        <v>1957</v>
      </c>
      <c r="D255" s="48">
        <v>14075</v>
      </c>
      <c r="E255" s="58" t="str">
        <f t="shared" si="3"/>
        <v>C</v>
      </c>
    </row>
    <row r="256" spans="1:5" x14ac:dyDescent="0.3">
      <c r="A256" s="53" t="s">
        <v>852</v>
      </c>
      <c r="B256" s="41" t="s">
        <v>1958</v>
      </c>
      <c r="C256" s="41" t="s">
        <v>1957</v>
      </c>
      <c r="D256" s="48">
        <v>15175</v>
      </c>
      <c r="E256" s="58" t="str">
        <f t="shared" si="3"/>
        <v>C</v>
      </c>
    </row>
    <row r="257" spans="1:5" x14ac:dyDescent="0.3">
      <c r="A257" s="53" t="s">
        <v>853</v>
      </c>
      <c r="B257" s="41" t="s">
        <v>1959</v>
      </c>
      <c r="C257" s="41" t="s">
        <v>1960</v>
      </c>
      <c r="D257" s="48">
        <v>15395</v>
      </c>
      <c r="E257" s="58" t="str">
        <f t="shared" si="3"/>
        <v>C</v>
      </c>
    </row>
    <row r="258" spans="1:5" x14ac:dyDescent="0.3">
      <c r="A258" s="53" t="s">
        <v>854</v>
      </c>
      <c r="B258" s="41" t="s">
        <v>1959</v>
      </c>
      <c r="C258" s="41" t="s">
        <v>1961</v>
      </c>
      <c r="D258" s="48">
        <v>16495</v>
      </c>
      <c r="E258" s="58" t="str">
        <f t="shared" si="3"/>
        <v>C</v>
      </c>
    </row>
    <row r="259" spans="1:5" x14ac:dyDescent="0.3">
      <c r="A259" s="53" t="s">
        <v>855</v>
      </c>
      <c r="B259" s="41" t="s">
        <v>1962</v>
      </c>
      <c r="C259" s="41" t="s">
        <v>1963</v>
      </c>
      <c r="D259" s="48">
        <v>15725</v>
      </c>
      <c r="E259" s="58" t="str">
        <f t="shared" si="3"/>
        <v>C</v>
      </c>
    </row>
    <row r="260" spans="1:5" x14ac:dyDescent="0.3">
      <c r="A260" s="53" t="s">
        <v>856</v>
      </c>
      <c r="B260" s="41" t="s">
        <v>1964</v>
      </c>
      <c r="C260" s="41" t="s">
        <v>1963</v>
      </c>
      <c r="D260" s="48">
        <v>16825</v>
      </c>
      <c r="E260" s="58" t="str">
        <f t="shared" si="3"/>
        <v>C</v>
      </c>
    </row>
    <row r="261" spans="1:5" x14ac:dyDescent="0.3">
      <c r="A261" s="53" t="s">
        <v>857</v>
      </c>
      <c r="B261" s="41" t="s">
        <v>1880</v>
      </c>
      <c r="C261" s="41" t="s">
        <v>1881</v>
      </c>
      <c r="D261" s="48">
        <v>6595</v>
      </c>
      <c r="E261" s="58" t="str">
        <f t="shared" ref="E261:E324" si="4">VLOOKUP(D261,$G$4:$H$7,2)</f>
        <v>B</v>
      </c>
    </row>
    <row r="262" spans="1:5" x14ac:dyDescent="0.3">
      <c r="A262" s="53" t="s">
        <v>858</v>
      </c>
      <c r="B262" s="41" t="s">
        <v>1882</v>
      </c>
      <c r="C262" s="41" t="s">
        <v>1883</v>
      </c>
      <c r="D262" s="48">
        <v>6925</v>
      </c>
      <c r="E262" s="58" t="str">
        <f t="shared" si="4"/>
        <v>B</v>
      </c>
    </row>
    <row r="263" spans="1:5" x14ac:dyDescent="0.3">
      <c r="A263" s="53" t="s">
        <v>859</v>
      </c>
      <c r="B263" s="41" t="s">
        <v>1884</v>
      </c>
      <c r="C263" s="41" t="s">
        <v>1885</v>
      </c>
      <c r="D263" s="48">
        <v>9345</v>
      </c>
      <c r="E263" s="58" t="str">
        <f t="shared" si="4"/>
        <v>B</v>
      </c>
    </row>
    <row r="264" spans="1:5" x14ac:dyDescent="0.3">
      <c r="A264" s="53" t="s">
        <v>860</v>
      </c>
      <c r="B264" s="41" t="s">
        <v>1886</v>
      </c>
      <c r="C264" s="41" t="s">
        <v>1887</v>
      </c>
      <c r="D264" s="48">
        <v>9675</v>
      </c>
      <c r="E264" s="58" t="str">
        <f t="shared" si="4"/>
        <v>B</v>
      </c>
    </row>
    <row r="265" spans="1:5" x14ac:dyDescent="0.3">
      <c r="A265" s="53" t="s">
        <v>861</v>
      </c>
      <c r="B265" s="41" t="s">
        <v>1888</v>
      </c>
      <c r="C265" s="41" t="s">
        <v>1889</v>
      </c>
      <c r="D265" s="48">
        <v>10995</v>
      </c>
      <c r="E265" s="58" t="str">
        <f t="shared" si="4"/>
        <v>C</v>
      </c>
    </row>
    <row r="266" spans="1:5" x14ac:dyDescent="0.3">
      <c r="A266" s="53" t="s">
        <v>862</v>
      </c>
      <c r="B266" s="41" t="s">
        <v>1890</v>
      </c>
      <c r="C266" s="41" t="s">
        <v>1891</v>
      </c>
      <c r="D266" s="48">
        <v>11325</v>
      </c>
      <c r="E266" s="58" t="str">
        <f t="shared" si="4"/>
        <v>C</v>
      </c>
    </row>
    <row r="267" spans="1:5" x14ac:dyDescent="0.3">
      <c r="A267" s="53" t="s">
        <v>863</v>
      </c>
      <c r="B267" s="41" t="s">
        <v>1892</v>
      </c>
      <c r="C267" s="41" t="s">
        <v>1893</v>
      </c>
      <c r="D267" s="48">
        <v>7695</v>
      </c>
      <c r="E267" s="58" t="str">
        <f t="shared" si="4"/>
        <v>B</v>
      </c>
    </row>
    <row r="268" spans="1:5" x14ac:dyDescent="0.3">
      <c r="A268" s="53" t="s">
        <v>864</v>
      </c>
      <c r="B268" s="41" t="s">
        <v>1894</v>
      </c>
      <c r="C268" s="41" t="s">
        <v>1895</v>
      </c>
      <c r="D268" s="48">
        <v>8025</v>
      </c>
      <c r="E268" s="58" t="str">
        <f t="shared" si="4"/>
        <v>B</v>
      </c>
    </row>
    <row r="269" spans="1:5" x14ac:dyDescent="0.3">
      <c r="A269" s="53" t="s">
        <v>865</v>
      </c>
      <c r="B269" s="41" t="s">
        <v>1896</v>
      </c>
      <c r="C269" s="41" t="s">
        <v>1897</v>
      </c>
      <c r="D269" s="48">
        <v>10445</v>
      </c>
      <c r="E269" s="58" t="str">
        <f t="shared" si="4"/>
        <v>C</v>
      </c>
    </row>
    <row r="270" spans="1:5" x14ac:dyDescent="0.3">
      <c r="A270" s="53" t="s">
        <v>866</v>
      </c>
      <c r="B270" s="41" t="s">
        <v>1898</v>
      </c>
      <c r="C270" s="41" t="s">
        <v>1899</v>
      </c>
      <c r="D270" s="48">
        <v>10775</v>
      </c>
      <c r="E270" s="58" t="str">
        <f t="shared" si="4"/>
        <v>C</v>
      </c>
    </row>
    <row r="271" spans="1:5" x14ac:dyDescent="0.3">
      <c r="A271" s="53" t="s">
        <v>867</v>
      </c>
      <c r="B271" s="41" t="s">
        <v>1900</v>
      </c>
      <c r="C271" s="41" t="s">
        <v>1901</v>
      </c>
      <c r="D271" s="48">
        <v>12095</v>
      </c>
      <c r="E271" s="58" t="str">
        <f t="shared" si="4"/>
        <v>C</v>
      </c>
    </row>
    <row r="272" spans="1:5" x14ac:dyDescent="0.3">
      <c r="A272" s="53" t="s">
        <v>868</v>
      </c>
      <c r="B272" s="41" t="s">
        <v>1902</v>
      </c>
      <c r="C272" s="41" t="s">
        <v>1903</v>
      </c>
      <c r="D272" s="48">
        <v>12425</v>
      </c>
      <c r="E272" s="58" t="str">
        <f t="shared" si="4"/>
        <v>C</v>
      </c>
    </row>
    <row r="273" spans="1:5" x14ac:dyDescent="0.3">
      <c r="A273" s="53" t="s">
        <v>869</v>
      </c>
      <c r="B273" s="41" t="s">
        <v>468</v>
      </c>
      <c r="C273" s="41" t="s">
        <v>469</v>
      </c>
      <c r="D273" s="48">
        <v>2745</v>
      </c>
      <c r="E273" s="58" t="str">
        <f t="shared" si="4"/>
        <v>B</v>
      </c>
    </row>
    <row r="274" spans="1:5" x14ac:dyDescent="0.3">
      <c r="A274" s="53" t="s">
        <v>870</v>
      </c>
      <c r="B274" s="41" t="s">
        <v>470</v>
      </c>
      <c r="C274" s="41" t="s">
        <v>451</v>
      </c>
      <c r="D274" s="48">
        <v>4395</v>
      </c>
      <c r="E274" s="58" t="str">
        <f t="shared" si="4"/>
        <v>B</v>
      </c>
    </row>
    <row r="275" spans="1:5" x14ac:dyDescent="0.3">
      <c r="A275" s="53" t="s">
        <v>871</v>
      </c>
      <c r="B275" s="41" t="s">
        <v>1965</v>
      </c>
      <c r="C275" s="41" t="s">
        <v>476</v>
      </c>
      <c r="D275" s="48">
        <v>1095</v>
      </c>
      <c r="E275" s="58" t="str">
        <f t="shared" si="4"/>
        <v>B</v>
      </c>
    </row>
    <row r="276" spans="1:5" x14ac:dyDescent="0.3">
      <c r="A276" s="53" t="s">
        <v>872</v>
      </c>
      <c r="B276" s="41" t="s">
        <v>1966</v>
      </c>
      <c r="C276" s="41" t="s">
        <v>479</v>
      </c>
      <c r="D276" s="48">
        <v>1645</v>
      </c>
      <c r="E276" s="58" t="str">
        <f t="shared" si="4"/>
        <v>B</v>
      </c>
    </row>
    <row r="277" spans="1:5" x14ac:dyDescent="0.3">
      <c r="A277" s="53" t="s">
        <v>873</v>
      </c>
      <c r="B277" s="41" t="s">
        <v>472</v>
      </c>
      <c r="C277" s="41" t="s">
        <v>473</v>
      </c>
      <c r="D277" s="48">
        <v>1095</v>
      </c>
      <c r="E277" s="58" t="str">
        <f t="shared" si="4"/>
        <v>B</v>
      </c>
    </row>
    <row r="278" spans="1:5" x14ac:dyDescent="0.3">
      <c r="A278" s="53" t="s">
        <v>874</v>
      </c>
      <c r="B278" s="41" t="s">
        <v>474</v>
      </c>
      <c r="C278" s="41" t="s">
        <v>475</v>
      </c>
      <c r="D278" s="48">
        <v>1425</v>
      </c>
      <c r="E278" s="58" t="str">
        <f t="shared" si="4"/>
        <v>B</v>
      </c>
    </row>
    <row r="279" spans="1:5" x14ac:dyDescent="0.3">
      <c r="A279" s="53" t="s">
        <v>875</v>
      </c>
      <c r="B279" s="41" t="s">
        <v>477</v>
      </c>
      <c r="C279" s="41" t="s">
        <v>478</v>
      </c>
      <c r="D279" s="48">
        <v>1645</v>
      </c>
      <c r="E279" s="58" t="str">
        <f t="shared" si="4"/>
        <v>B</v>
      </c>
    </row>
    <row r="280" spans="1:5" x14ac:dyDescent="0.3">
      <c r="A280" s="53" t="s">
        <v>876</v>
      </c>
      <c r="B280" s="41" t="s">
        <v>1904</v>
      </c>
      <c r="C280" s="41" t="s">
        <v>478</v>
      </c>
      <c r="D280" s="48">
        <v>1645</v>
      </c>
      <c r="E280" s="58" t="str">
        <f t="shared" si="4"/>
        <v>B</v>
      </c>
    </row>
    <row r="281" spans="1:5" x14ac:dyDescent="0.3">
      <c r="A281" s="53" t="s">
        <v>877</v>
      </c>
      <c r="B281" s="41" t="s">
        <v>1905</v>
      </c>
      <c r="C281" s="41" t="s">
        <v>1906</v>
      </c>
      <c r="D281" s="48">
        <v>1975</v>
      </c>
      <c r="E281" s="58" t="str">
        <f t="shared" si="4"/>
        <v>B</v>
      </c>
    </row>
    <row r="282" spans="1:5" x14ac:dyDescent="0.3">
      <c r="A282" s="55" t="s">
        <v>878</v>
      </c>
      <c r="B282" s="33" t="s">
        <v>2229</v>
      </c>
      <c r="C282" s="33" t="s">
        <v>2229</v>
      </c>
      <c r="D282" s="32">
        <v>55</v>
      </c>
      <c r="E282" s="58" t="str">
        <f t="shared" si="4"/>
        <v>A</v>
      </c>
    </row>
    <row r="283" spans="1:5" x14ac:dyDescent="0.3">
      <c r="A283" s="54" t="s">
        <v>879</v>
      </c>
      <c r="B283" s="33" t="s">
        <v>471</v>
      </c>
      <c r="C283" s="33" t="s">
        <v>368</v>
      </c>
      <c r="D283" s="48">
        <v>1095</v>
      </c>
      <c r="E283" s="58" t="str">
        <f t="shared" si="4"/>
        <v>B</v>
      </c>
    </row>
    <row r="284" spans="1:5" x14ac:dyDescent="0.3">
      <c r="A284" s="53" t="s">
        <v>880</v>
      </c>
      <c r="B284" s="41" t="s">
        <v>529</v>
      </c>
      <c r="C284" s="41" t="s">
        <v>530</v>
      </c>
      <c r="D284" s="48">
        <v>1370</v>
      </c>
      <c r="E284" s="58" t="str">
        <f t="shared" si="4"/>
        <v>B</v>
      </c>
    </row>
    <row r="285" spans="1:5" x14ac:dyDescent="0.3">
      <c r="A285" s="53" t="s">
        <v>881</v>
      </c>
      <c r="B285" s="41" t="s">
        <v>531</v>
      </c>
      <c r="C285" s="41" t="s">
        <v>532</v>
      </c>
      <c r="D285" s="48">
        <v>2745</v>
      </c>
      <c r="E285" s="58" t="str">
        <f t="shared" si="4"/>
        <v>B</v>
      </c>
    </row>
    <row r="286" spans="1:5" x14ac:dyDescent="0.3">
      <c r="A286" s="53" t="s">
        <v>882</v>
      </c>
      <c r="B286" s="41" t="s">
        <v>533</v>
      </c>
      <c r="C286" s="41" t="s">
        <v>534</v>
      </c>
      <c r="D286" s="48">
        <v>10995</v>
      </c>
      <c r="E286" s="58" t="str">
        <f t="shared" si="4"/>
        <v>C</v>
      </c>
    </row>
    <row r="287" spans="1:5" x14ac:dyDescent="0.3">
      <c r="A287" s="53" t="s">
        <v>883</v>
      </c>
      <c r="B287" s="41" t="s">
        <v>369</v>
      </c>
      <c r="C287" s="41" t="s">
        <v>370</v>
      </c>
      <c r="D287" s="48">
        <v>17595</v>
      </c>
      <c r="E287" s="58" t="str">
        <f t="shared" si="4"/>
        <v>C</v>
      </c>
    </row>
    <row r="288" spans="1:5" x14ac:dyDescent="0.3">
      <c r="A288" s="56" t="s">
        <v>884</v>
      </c>
      <c r="B288" s="50" t="s">
        <v>371</v>
      </c>
      <c r="C288" s="52" t="s">
        <v>372</v>
      </c>
      <c r="D288" s="48">
        <v>21995</v>
      </c>
      <c r="E288" s="58" t="str">
        <f t="shared" si="4"/>
        <v>C</v>
      </c>
    </row>
    <row r="289" spans="1:5" x14ac:dyDescent="0.3">
      <c r="A289" s="56" t="s">
        <v>885</v>
      </c>
      <c r="B289" s="50" t="s">
        <v>373</v>
      </c>
      <c r="C289" s="33" t="s">
        <v>374</v>
      </c>
      <c r="D289" s="48">
        <v>21995</v>
      </c>
      <c r="E289" s="58" t="str">
        <f t="shared" si="4"/>
        <v>C</v>
      </c>
    </row>
    <row r="290" spans="1:5" x14ac:dyDescent="0.3">
      <c r="A290" s="56" t="s">
        <v>886</v>
      </c>
      <c r="B290" s="50" t="s">
        <v>375</v>
      </c>
      <c r="C290" s="33" t="s">
        <v>376</v>
      </c>
      <c r="D290" s="48">
        <v>21995</v>
      </c>
      <c r="E290" s="58" t="str">
        <f t="shared" si="4"/>
        <v>C</v>
      </c>
    </row>
    <row r="291" spans="1:5" x14ac:dyDescent="0.3">
      <c r="A291" s="56" t="s">
        <v>887</v>
      </c>
      <c r="B291" s="50" t="s">
        <v>377</v>
      </c>
      <c r="C291" s="33" t="s">
        <v>378</v>
      </c>
      <c r="D291" s="48">
        <v>21995</v>
      </c>
      <c r="E291" s="58" t="str">
        <f t="shared" si="4"/>
        <v>C</v>
      </c>
    </row>
    <row r="292" spans="1:5" x14ac:dyDescent="0.3">
      <c r="A292" s="56" t="s">
        <v>888</v>
      </c>
      <c r="B292" s="50" t="s">
        <v>379</v>
      </c>
      <c r="C292" s="33" t="s">
        <v>380</v>
      </c>
      <c r="D292" s="48">
        <v>21995</v>
      </c>
      <c r="E292" s="58" t="str">
        <f t="shared" si="4"/>
        <v>C</v>
      </c>
    </row>
    <row r="293" spans="1:5" x14ac:dyDescent="0.3">
      <c r="A293" s="56" t="s">
        <v>889</v>
      </c>
      <c r="B293" s="50" t="s">
        <v>381</v>
      </c>
      <c r="C293" s="33" t="s">
        <v>382</v>
      </c>
      <c r="D293" s="48">
        <v>21995</v>
      </c>
      <c r="E293" s="58" t="str">
        <f t="shared" si="4"/>
        <v>C</v>
      </c>
    </row>
    <row r="294" spans="1:5" x14ac:dyDescent="0.3">
      <c r="A294" s="56" t="s">
        <v>890</v>
      </c>
      <c r="B294" s="50" t="s">
        <v>383</v>
      </c>
      <c r="C294" s="33" t="s">
        <v>384</v>
      </c>
      <c r="D294" s="48">
        <v>21995</v>
      </c>
      <c r="E294" s="58" t="str">
        <f t="shared" si="4"/>
        <v>C</v>
      </c>
    </row>
    <row r="295" spans="1:5" x14ac:dyDescent="0.3">
      <c r="A295" s="56" t="s">
        <v>891</v>
      </c>
      <c r="B295" s="50" t="s">
        <v>385</v>
      </c>
      <c r="C295" s="33" t="s">
        <v>386</v>
      </c>
      <c r="D295" s="48">
        <v>21995</v>
      </c>
      <c r="E295" s="58" t="str">
        <f t="shared" si="4"/>
        <v>C</v>
      </c>
    </row>
    <row r="296" spans="1:5" x14ac:dyDescent="0.3">
      <c r="A296" s="56" t="s">
        <v>892</v>
      </c>
      <c r="B296" s="50" t="s">
        <v>387</v>
      </c>
      <c r="C296" s="33" t="s">
        <v>388</v>
      </c>
      <c r="D296" s="48">
        <v>21995</v>
      </c>
      <c r="E296" s="58" t="str">
        <f t="shared" si="4"/>
        <v>C</v>
      </c>
    </row>
    <row r="297" spans="1:5" x14ac:dyDescent="0.3">
      <c r="A297" s="56" t="s">
        <v>893</v>
      </c>
      <c r="B297" s="50" t="s">
        <v>389</v>
      </c>
      <c r="C297" s="33" t="s">
        <v>390</v>
      </c>
      <c r="D297" s="48">
        <v>21995</v>
      </c>
      <c r="E297" s="58" t="str">
        <f t="shared" si="4"/>
        <v>C</v>
      </c>
    </row>
    <row r="298" spans="1:5" x14ac:dyDescent="0.3">
      <c r="A298" s="56" t="s">
        <v>894</v>
      </c>
      <c r="B298" s="50" t="s">
        <v>391</v>
      </c>
      <c r="C298" s="33" t="s">
        <v>392</v>
      </c>
      <c r="D298" s="48">
        <v>21995</v>
      </c>
      <c r="E298" s="58" t="str">
        <f t="shared" si="4"/>
        <v>C</v>
      </c>
    </row>
    <row r="299" spans="1:5" x14ac:dyDescent="0.3">
      <c r="A299" s="56" t="s">
        <v>895</v>
      </c>
      <c r="B299" s="50" t="s">
        <v>393</v>
      </c>
      <c r="C299" s="33" t="s">
        <v>394</v>
      </c>
      <c r="D299" s="48">
        <v>21995</v>
      </c>
      <c r="E299" s="58" t="str">
        <f t="shared" si="4"/>
        <v>C</v>
      </c>
    </row>
    <row r="300" spans="1:5" x14ac:dyDescent="0.3">
      <c r="A300" s="56" t="s">
        <v>896</v>
      </c>
      <c r="B300" s="50" t="s">
        <v>395</v>
      </c>
      <c r="C300" s="33" t="s">
        <v>396</v>
      </c>
      <c r="D300" s="48">
        <v>21995</v>
      </c>
      <c r="E300" s="58" t="str">
        <f t="shared" si="4"/>
        <v>C</v>
      </c>
    </row>
    <row r="301" spans="1:5" x14ac:dyDescent="0.3">
      <c r="A301" s="56" t="s">
        <v>897</v>
      </c>
      <c r="B301" s="50" t="s">
        <v>397</v>
      </c>
      <c r="C301" s="33" t="s">
        <v>398</v>
      </c>
      <c r="D301" s="48">
        <v>21995</v>
      </c>
      <c r="E301" s="58" t="str">
        <f t="shared" si="4"/>
        <v>C</v>
      </c>
    </row>
    <row r="302" spans="1:5" x14ac:dyDescent="0.3">
      <c r="A302" s="56" t="s">
        <v>898</v>
      </c>
      <c r="B302" s="50" t="s">
        <v>399</v>
      </c>
      <c r="C302" s="33" t="s">
        <v>400</v>
      </c>
      <c r="D302" s="48">
        <v>21995</v>
      </c>
      <c r="E302" s="58" t="str">
        <f t="shared" si="4"/>
        <v>C</v>
      </c>
    </row>
    <row r="303" spans="1:5" x14ac:dyDescent="0.3">
      <c r="A303" s="56" t="s">
        <v>899</v>
      </c>
      <c r="B303" s="50" t="s">
        <v>401</v>
      </c>
      <c r="C303" s="33" t="s">
        <v>402</v>
      </c>
      <c r="D303" s="48">
        <v>21995</v>
      </c>
      <c r="E303" s="58" t="str">
        <f t="shared" si="4"/>
        <v>C</v>
      </c>
    </row>
    <row r="304" spans="1:5" x14ac:dyDescent="0.3">
      <c r="A304" s="56" t="s">
        <v>900</v>
      </c>
      <c r="B304" s="50" t="s">
        <v>403</v>
      </c>
      <c r="C304" s="33" t="s">
        <v>404</v>
      </c>
      <c r="D304" s="48">
        <v>21995</v>
      </c>
      <c r="E304" s="58" t="str">
        <f t="shared" si="4"/>
        <v>C</v>
      </c>
    </row>
    <row r="305" spans="1:5" x14ac:dyDescent="0.3">
      <c r="A305" s="56" t="s">
        <v>901</v>
      </c>
      <c r="B305" s="50" t="s">
        <v>405</v>
      </c>
      <c r="C305" s="33" t="s">
        <v>406</v>
      </c>
      <c r="D305" s="48">
        <v>21995</v>
      </c>
      <c r="E305" s="58" t="str">
        <f t="shared" si="4"/>
        <v>C</v>
      </c>
    </row>
    <row r="306" spans="1:5" x14ac:dyDescent="0.3">
      <c r="A306" s="56" t="s">
        <v>902</v>
      </c>
      <c r="B306" s="50" t="s">
        <v>407</v>
      </c>
      <c r="C306" s="33" t="s">
        <v>408</v>
      </c>
      <c r="D306" s="48">
        <v>21995</v>
      </c>
      <c r="E306" s="58" t="str">
        <f t="shared" si="4"/>
        <v>C</v>
      </c>
    </row>
    <row r="307" spans="1:5" x14ac:dyDescent="0.3">
      <c r="A307" s="56" t="s">
        <v>903</v>
      </c>
      <c r="B307" s="50" t="s">
        <v>409</v>
      </c>
      <c r="C307" s="33" t="s">
        <v>410</v>
      </c>
      <c r="D307" s="48">
        <v>21995</v>
      </c>
      <c r="E307" s="58" t="str">
        <f t="shared" si="4"/>
        <v>C</v>
      </c>
    </row>
    <row r="308" spans="1:5" x14ac:dyDescent="0.3">
      <c r="A308" s="56" t="s">
        <v>904</v>
      </c>
      <c r="B308" s="50" t="s">
        <v>411</v>
      </c>
      <c r="C308" s="33" t="s">
        <v>412</v>
      </c>
      <c r="D308" s="48">
        <v>21995</v>
      </c>
      <c r="E308" s="58" t="str">
        <f t="shared" si="4"/>
        <v>C</v>
      </c>
    </row>
    <row r="309" spans="1:5" x14ac:dyDescent="0.3">
      <c r="A309" s="56" t="s">
        <v>905</v>
      </c>
      <c r="B309" s="50" t="s">
        <v>413</v>
      </c>
      <c r="C309" s="33" t="s">
        <v>414</v>
      </c>
      <c r="D309" s="48">
        <v>21995</v>
      </c>
      <c r="E309" s="58" t="str">
        <f t="shared" si="4"/>
        <v>C</v>
      </c>
    </row>
    <row r="310" spans="1:5" x14ac:dyDescent="0.3">
      <c r="A310" s="56" t="s">
        <v>906</v>
      </c>
      <c r="B310" s="50" t="s">
        <v>415</v>
      </c>
      <c r="C310" s="33" t="s">
        <v>416</v>
      </c>
      <c r="D310" s="48">
        <v>21995</v>
      </c>
      <c r="E310" s="58" t="str">
        <f t="shared" si="4"/>
        <v>C</v>
      </c>
    </row>
    <row r="311" spans="1:5" x14ac:dyDescent="0.3">
      <c r="A311" s="56" t="s">
        <v>907</v>
      </c>
      <c r="B311" s="50" t="s">
        <v>417</v>
      </c>
      <c r="C311" s="33" t="s">
        <v>418</v>
      </c>
      <c r="D311" s="48">
        <v>21995</v>
      </c>
      <c r="E311" s="58" t="str">
        <f t="shared" si="4"/>
        <v>C</v>
      </c>
    </row>
    <row r="312" spans="1:5" x14ac:dyDescent="0.3">
      <c r="A312" s="56" t="s">
        <v>908</v>
      </c>
      <c r="B312" s="50" t="s">
        <v>419</v>
      </c>
      <c r="C312" s="33" t="s">
        <v>420</v>
      </c>
      <c r="D312" s="48">
        <v>21995</v>
      </c>
      <c r="E312" s="58" t="str">
        <f t="shared" si="4"/>
        <v>C</v>
      </c>
    </row>
    <row r="313" spans="1:5" x14ac:dyDescent="0.3">
      <c r="A313" s="56" t="s">
        <v>909</v>
      </c>
      <c r="B313" s="50" t="s">
        <v>421</v>
      </c>
      <c r="C313" s="33" t="s">
        <v>422</v>
      </c>
      <c r="D313" s="48">
        <v>21995</v>
      </c>
      <c r="E313" s="58" t="str">
        <f t="shared" si="4"/>
        <v>C</v>
      </c>
    </row>
    <row r="314" spans="1:5" x14ac:dyDescent="0.3">
      <c r="A314" s="56" t="s">
        <v>910</v>
      </c>
      <c r="B314" s="50" t="s">
        <v>423</v>
      </c>
      <c r="C314" s="33" t="s">
        <v>424</v>
      </c>
      <c r="D314" s="48">
        <v>21995</v>
      </c>
      <c r="E314" s="58" t="str">
        <f t="shared" si="4"/>
        <v>C</v>
      </c>
    </row>
    <row r="315" spans="1:5" x14ac:dyDescent="0.3">
      <c r="A315" s="56" t="s">
        <v>911</v>
      </c>
      <c r="B315" s="50" t="s">
        <v>425</v>
      </c>
      <c r="C315" s="33" t="s">
        <v>426</v>
      </c>
      <c r="D315" s="48">
        <v>21995</v>
      </c>
      <c r="E315" s="58" t="str">
        <f t="shared" si="4"/>
        <v>C</v>
      </c>
    </row>
    <row r="316" spans="1:5" x14ac:dyDescent="0.3">
      <c r="A316" s="56" t="s">
        <v>912</v>
      </c>
      <c r="B316" s="50" t="s">
        <v>427</v>
      </c>
      <c r="C316" s="33" t="s">
        <v>428</v>
      </c>
      <c r="D316" s="48">
        <v>21995</v>
      </c>
      <c r="E316" s="58" t="str">
        <f t="shared" si="4"/>
        <v>C</v>
      </c>
    </row>
    <row r="317" spans="1:5" x14ac:dyDescent="0.3">
      <c r="A317" s="56" t="s">
        <v>913</v>
      </c>
      <c r="B317" s="50" t="s">
        <v>429</v>
      </c>
      <c r="C317" s="33" t="s">
        <v>430</v>
      </c>
      <c r="D317" s="48">
        <v>21995</v>
      </c>
      <c r="E317" s="58" t="str">
        <f t="shared" si="4"/>
        <v>C</v>
      </c>
    </row>
    <row r="318" spans="1:5" x14ac:dyDescent="0.3">
      <c r="A318" s="56" t="s">
        <v>914</v>
      </c>
      <c r="B318" s="50" t="s">
        <v>431</v>
      </c>
      <c r="C318" s="33" t="s">
        <v>432</v>
      </c>
      <c r="D318" s="48">
        <v>21995</v>
      </c>
      <c r="E318" s="58" t="str">
        <f t="shared" si="4"/>
        <v>C</v>
      </c>
    </row>
    <row r="319" spans="1:5" x14ac:dyDescent="0.3">
      <c r="A319" s="56" t="s">
        <v>915</v>
      </c>
      <c r="B319" s="50" t="s">
        <v>433</v>
      </c>
      <c r="C319" s="33" t="s">
        <v>434</v>
      </c>
      <c r="D319" s="48">
        <v>21995</v>
      </c>
      <c r="E319" s="58" t="str">
        <f t="shared" si="4"/>
        <v>C</v>
      </c>
    </row>
    <row r="320" spans="1:5" x14ac:dyDescent="0.3">
      <c r="A320" s="56" t="s">
        <v>916</v>
      </c>
      <c r="B320" s="50" t="s">
        <v>435</v>
      </c>
      <c r="C320" s="33" t="s">
        <v>436</v>
      </c>
      <c r="D320" s="48">
        <v>21995</v>
      </c>
      <c r="E320" s="58" t="str">
        <f t="shared" si="4"/>
        <v>C</v>
      </c>
    </row>
    <row r="321" spans="1:5" x14ac:dyDescent="0.3">
      <c r="A321" s="56" t="s">
        <v>917</v>
      </c>
      <c r="B321" s="50" t="s">
        <v>437</v>
      </c>
      <c r="C321" s="33" t="s">
        <v>438</v>
      </c>
      <c r="D321" s="48">
        <v>21995</v>
      </c>
      <c r="E321" s="58" t="str">
        <f t="shared" si="4"/>
        <v>C</v>
      </c>
    </row>
    <row r="322" spans="1:5" x14ac:dyDescent="0.3">
      <c r="A322" s="56" t="s">
        <v>918</v>
      </c>
      <c r="B322" s="50" t="s">
        <v>439</v>
      </c>
      <c r="C322" s="33" t="s">
        <v>440</v>
      </c>
      <c r="D322" s="48">
        <v>21995</v>
      </c>
      <c r="E322" s="58" t="str">
        <f t="shared" si="4"/>
        <v>C</v>
      </c>
    </row>
    <row r="323" spans="1:5" x14ac:dyDescent="0.3">
      <c r="A323" s="56" t="s">
        <v>919</v>
      </c>
      <c r="B323" s="50" t="s">
        <v>441</v>
      </c>
      <c r="C323" s="33" t="s">
        <v>442</v>
      </c>
      <c r="D323" s="48">
        <v>21995</v>
      </c>
      <c r="E323" s="58" t="str">
        <f t="shared" si="4"/>
        <v>C</v>
      </c>
    </row>
    <row r="324" spans="1:5" x14ac:dyDescent="0.3">
      <c r="A324" s="56" t="s">
        <v>920</v>
      </c>
      <c r="B324" s="50" t="s">
        <v>443</v>
      </c>
      <c r="C324" s="33" t="s">
        <v>444</v>
      </c>
      <c r="D324" s="48">
        <v>21995</v>
      </c>
      <c r="E324" s="58" t="str">
        <f t="shared" si="4"/>
        <v>C</v>
      </c>
    </row>
    <row r="325" spans="1:5" x14ac:dyDescent="0.3">
      <c r="A325" s="56" t="s">
        <v>921</v>
      </c>
      <c r="B325" s="50" t="s">
        <v>445</v>
      </c>
      <c r="C325" s="33" t="s">
        <v>446</v>
      </c>
      <c r="D325" s="48">
        <v>21995</v>
      </c>
      <c r="E325" s="58" t="str">
        <f t="shared" ref="E325:E388" si="5">VLOOKUP(D325,$G$4:$H$7,2)</f>
        <v>C</v>
      </c>
    </row>
    <row r="326" spans="1:5" x14ac:dyDescent="0.3">
      <c r="A326" s="56" t="s">
        <v>922</v>
      </c>
      <c r="B326" s="50" t="s">
        <v>447</v>
      </c>
      <c r="C326" s="33" t="s">
        <v>448</v>
      </c>
      <c r="D326" s="48">
        <v>21995</v>
      </c>
      <c r="E326" s="58" t="str">
        <f t="shared" si="5"/>
        <v>C</v>
      </c>
    </row>
    <row r="327" spans="1:5" x14ac:dyDescent="0.3">
      <c r="A327" s="56" t="s">
        <v>923</v>
      </c>
      <c r="B327" s="50" t="s">
        <v>449</v>
      </c>
      <c r="C327" s="33" t="s">
        <v>450</v>
      </c>
      <c r="D327" s="48">
        <v>21995</v>
      </c>
      <c r="E327" s="58" t="str">
        <f t="shared" si="5"/>
        <v>C</v>
      </c>
    </row>
    <row r="328" spans="1:5" x14ac:dyDescent="0.3">
      <c r="A328" s="53" t="s">
        <v>924</v>
      </c>
      <c r="B328" s="41" t="s">
        <v>546</v>
      </c>
      <c r="C328" s="41" t="s">
        <v>547</v>
      </c>
      <c r="D328" s="48">
        <v>1095</v>
      </c>
      <c r="E328" s="58" t="str">
        <f t="shared" si="5"/>
        <v>B</v>
      </c>
    </row>
    <row r="329" spans="1:5" x14ac:dyDescent="0.3">
      <c r="A329" s="53" t="s">
        <v>925</v>
      </c>
      <c r="B329" s="41" t="s">
        <v>544</v>
      </c>
      <c r="C329" s="41" t="s">
        <v>545</v>
      </c>
      <c r="D329" s="48">
        <v>490</v>
      </c>
      <c r="E329" s="58" t="str">
        <f t="shared" si="5"/>
        <v>A</v>
      </c>
    </row>
    <row r="330" spans="1:5" x14ac:dyDescent="0.3">
      <c r="A330" s="53" t="s">
        <v>926</v>
      </c>
      <c r="B330" s="41" t="s">
        <v>359</v>
      </c>
      <c r="C330" s="41" t="s">
        <v>360</v>
      </c>
      <c r="D330" s="48">
        <v>325</v>
      </c>
      <c r="E330" s="58" t="str">
        <f t="shared" si="5"/>
        <v>A</v>
      </c>
    </row>
    <row r="331" spans="1:5" x14ac:dyDescent="0.3">
      <c r="A331" s="53" t="s">
        <v>927</v>
      </c>
      <c r="B331" s="41" t="s">
        <v>548</v>
      </c>
      <c r="C331" s="41" t="s">
        <v>549</v>
      </c>
      <c r="D331" s="48">
        <v>4395</v>
      </c>
      <c r="E331" s="58" t="str">
        <f t="shared" si="5"/>
        <v>B</v>
      </c>
    </row>
    <row r="332" spans="1:5" x14ac:dyDescent="0.3">
      <c r="A332" s="53" t="s">
        <v>928</v>
      </c>
      <c r="B332" s="41" t="s">
        <v>588</v>
      </c>
      <c r="C332" s="41" t="s">
        <v>589</v>
      </c>
      <c r="D332" s="48">
        <v>5495</v>
      </c>
      <c r="E332" s="58" t="str">
        <f t="shared" si="5"/>
        <v>B</v>
      </c>
    </row>
    <row r="333" spans="1:5" x14ac:dyDescent="0.3">
      <c r="A333" s="53" t="s">
        <v>929</v>
      </c>
      <c r="B333" s="41" t="s">
        <v>1851</v>
      </c>
      <c r="C333" s="41" t="s">
        <v>550</v>
      </c>
      <c r="D333" s="48">
        <v>5495</v>
      </c>
      <c r="E333" s="58" t="str">
        <f t="shared" si="5"/>
        <v>B</v>
      </c>
    </row>
    <row r="334" spans="1:5" x14ac:dyDescent="0.3">
      <c r="A334" s="53" t="s">
        <v>930</v>
      </c>
      <c r="B334" s="41" t="s">
        <v>1852</v>
      </c>
      <c r="C334" s="41" t="s">
        <v>551</v>
      </c>
      <c r="D334" s="48">
        <v>5495</v>
      </c>
      <c r="E334" s="58" t="str">
        <f t="shared" si="5"/>
        <v>B</v>
      </c>
    </row>
    <row r="335" spans="1:5" x14ac:dyDescent="0.3">
      <c r="A335" s="53" t="s">
        <v>931</v>
      </c>
      <c r="B335" s="41" t="s">
        <v>1853</v>
      </c>
      <c r="C335" s="41" t="s">
        <v>552</v>
      </c>
      <c r="D335" s="48">
        <v>5495</v>
      </c>
      <c r="E335" s="58" t="str">
        <f t="shared" si="5"/>
        <v>B</v>
      </c>
    </row>
    <row r="336" spans="1:5" x14ac:dyDescent="0.3">
      <c r="A336" s="53" t="s">
        <v>932</v>
      </c>
      <c r="B336" s="41" t="s">
        <v>1854</v>
      </c>
      <c r="C336" s="41" t="s">
        <v>553</v>
      </c>
      <c r="D336" s="48">
        <v>5495</v>
      </c>
      <c r="E336" s="58" t="str">
        <f t="shared" si="5"/>
        <v>B</v>
      </c>
    </row>
    <row r="337" spans="1:5" x14ac:dyDescent="0.3">
      <c r="A337" s="53" t="s">
        <v>933</v>
      </c>
      <c r="B337" s="41" t="s">
        <v>1855</v>
      </c>
      <c r="C337" s="41" t="s">
        <v>554</v>
      </c>
      <c r="D337" s="48">
        <v>5495</v>
      </c>
      <c r="E337" s="58" t="str">
        <f t="shared" si="5"/>
        <v>B</v>
      </c>
    </row>
    <row r="338" spans="1:5" x14ac:dyDescent="0.3">
      <c r="A338" s="53" t="s">
        <v>934</v>
      </c>
      <c r="B338" s="41" t="s">
        <v>1856</v>
      </c>
      <c r="C338" s="41" t="s">
        <v>555</v>
      </c>
      <c r="D338" s="48">
        <v>5495</v>
      </c>
      <c r="E338" s="58" t="str">
        <f t="shared" si="5"/>
        <v>B</v>
      </c>
    </row>
    <row r="339" spans="1:5" x14ac:dyDescent="0.3">
      <c r="A339" s="53" t="s">
        <v>935</v>
      </c>
      <c r="B339" s="41" t="s">
        <v>1857</v>
      </c>
      <c r="C339" s="41" t="s">
        <v>556</v>
      </c>
      <c r="D339" s="48">
        <v>5495</v>
      </c>
      <c r="E339" s="58" t="str">
        <f t="shared" si="5"/>
        <v>B</v>
      </c>
    </row>
    <row r="340" spans="1:5" x14ac:dyDescent="0.3">
      <c r="A340" s="53" t="s">
        <v>936</v>
      </c>
      <c r="B340" s="41" t="s">
        <v>1858</v>
      </c>
      <c r="C340" s="41" t="s">
        <v>557</v>
      </c>
      <c r="D340" s="48">
        <v>5495</v>
      </c>
      <c r="E340" s="58" t="str">
        <f t="shared" si="5"/>
        <v>B</v>
      </c>
    </row>
    <row r="341" spans="1:5" x14ac:dyDescent="0.3">
      <c r="A341" s="53" t="s">
        <v>937</v>
      </c>
      <c r="B341" s="41" t="s">
        <v>363</v>
      </c>
      <c r="C341" s="41" t="s">
        <v>364</v>
      </c>
      <c r="D341" s="48">
        <v>1315</v>
      </c>
      <c r="E341" s="58" t="str">
        <f t="shared" si="5"/>
        <v>B</v>
      </c>
    </row>
    <row r="342" spans="1:5" x14ac:dyDescent="0.3">
      <c r="A342" s="53" t="s">
        <v>938</v>
      </c>
      <c r="B342" s="41" t="s">
        <v>365</v>
      </c>
      <c r="C342" s="41" t="s">
        <v>366</v>
      </c>
      <c r="D342" s="48">
        <v>1315</v>
      </c>
      <c r="E342" s="58" t="str">
        <f t="shared" si="5"/>
        <v>B</v>
      </c>
    </row>
    <row r="343" spans="1:5" x14ac:dyDescent="0.3">
      <c r="A343" s="53" t="s">
        <v>939</v>
      </c>
      <c r="B343" s="41" t="s">
        <v>355</v>
      </c>
      <c r="C343" s="41" t="s">
        <v>356</v>
      </c>
      <c r="D343" s="48">
        <v>435</v>
      </c>
      <c r="E343" s="58" t="str">
        <f t="shared" si="5"/>
        <v>A</v>
      </c>
    </row>
    <row r="344" spans="1:5" x14ac:dyDescent="0.3">
      <c r="A344" s="53" t="s">
        <v>940</v>
      </c>
      <c r="B344" s="41" t="s">
        <v>357</v>
      </c>
      <c r="C344" s="41" t="s">
        <v>358</v>
      </c>
      <c r="D344" s="48">
        <v>435</v>
      </c>
      <c r="E344" s="58" t="str">
        <f t="shared" si="5"/>
        <v>A</v>
      </c>
    </row>
    <row r="345" spans="1:5" x14ac:dyDescent="0.3">
      <c r="A345" s="53" t="s">
        <v>941</v>
      </c>
      <c r="B345" s="41" t="s">
        <v>351</v>
      </c>
      <c r="C345" s="41" t="s">
        <v>352</v>
      </c>
      <c r="D345" s="48">
        <v>185</v>
      </c>
      <c r="E345" s="58" t="str">
        <f t="shared" si="5"/>
        <v>A</v>
      </c>
    </row>
    <row r="346" spans="1:5" x14ac:dyDescent="0.3">
      <c r="A346" s="53" t="s">
        <v>942</v>
      </c>
      <c r="B346" s="41" t="s">
        <v>361</v>
      </c>
      <c r="C346" s="41" t="s">
        <v>362</v>
      </c>
      <c r="D346" s="48">
        <v>655</v>
      </c>
      <c r="E346" s="58" t="str">
        <f t="shared" si="5"/>
        <v>A</v>
      </c>
    </row>
    <row r="347" spans="1:5" x14ac:dyDescent="0.3">
      <c r="A347" s="54" t="s">
        <v>943</v>
      </c>
      <c r="B347" s="33" t="s">
        <v>500</v>
      </c>
      <c r="C347" s="33" t="s">
        <v>353</v>
      </c>
      <c r="D347" s="32">
        <v>325</v>
      </c>
      <c r="E347" s="58" t="str">
        <f t="shared" si="5"/>
        <v>A</v>
      </c>
    </row>
    <row r="348" spans="1:5" x14ac:dyDescent="0.3">
      <c r="A348" s="54" t="s">
        <v>944</v>
      </c>
      <c r="B348" s="33" t="s">
        <v>501</v>
      </c>
      <c r="C348" s="33" t="s">
        <v>354</v>
      </c>
      <c r="D348" s="32">
        <v>435</v>
      </c>
      <c r="E348" s="58" t="str">
        <f t="shared" si="5"/>
        <v>A</v>
      </c>
    </row>
    <row r="349" spans="1:5" x14ac:dyDescent="0.3">
      <c r="A349" s="53" t="s">
        <v>945</v>
      </c>
      <c r="B349" s="41" t="s">
        <v>2249</v>
      </c>
      <c r="C349" s="41" t="s">
        <v>480</v>
      </c>
      <c r="D349" s="48">
        <v>4395</v>
      </c>
      <c r="E349" s="58" t="str">
        <f t="shared" si="5"/>
        <v>B</v>
      </c>
    </row>
    <row r="350" spans="1:5" x14ac:dyDescent="0.3">
      <c r="A350" s="53" t="s">
        <v>946</v>
      </c>
      <c r="B350" s="41" t="s">
        <v>2250</v>
      </c>
      <c r="C350" s="41" t="s">
        <v>481</v>
      </c>
      <c r="D350" s="48">
        <v>4725</v>
      </c>
      <c r="E350" s="58" t="str">
        <f t="shared" si="5"/>
        <v>B</v>
      </c>
    </row>
    <row r="351" spans="1:5" x14ac:dyDescent="0.3">
      <c r="A351" s="53" t="s">
        <v>947</v>
      </c>
      <c r="B351" s="41" t="s">
        <v>2251</v>
      </c>
      <c r="C351" s="41" t="s">
        <v>482</v>
      </c>
      <c r="D351" s="48">
        <v>7145</v>
      </c>
      <c r="E351" s="58" t="str">
        <f t="shared" si="5"/>
        <v>B</v>
      </c>
    </row>
    <row r="352" spans="1:5" x14ac:dyDescent="0.3">
      <c r="A352" s="53" t="s">
        <v>948</v>
      </c>
      <c r="B352" s="41" t="s">
        <v>2252</v>
      </c>
      <c r="C352" s="41" t="s">
        <v>483</v>
      </c>
      <c r="D352" s="48">
        <v>7475</v>
      </c>
      <c r="E352" s="58" t="str">
        <f t="shared" si="5"/>
        <v>B</v>
      </c>
    </row>
    <row r="353" spans="1:5" x14ac:dyDescent="0.3">
      <c r="A353" s="53" t="s">
        <v>949</v>
      </c>
      <c r="B353" s="41" t="s">
        <v>2253</v>
      </c>
      <c r="C353" s="41" t="s">
        <v>484</v>
      </c>
      <c r="D353" s="48">
        <v>8795</v>
      </c>
      <c r="E353" s="58" t="str">
        <f t="shared" si="5"/>
        <v>B</v>
      </c>
    </row>
    <row r="354" spans="1:5" x14ac:dyDescent="0.3">
      <c r="A354" s="53" t="s">
        <v>950</v>
      </c>
      <c r="B354" s="41" t="s">
        <v>2254</v>
      </c>
      <c r="C354" s="41" t="s">
        <v>485</v>
      </c>
      <c r="D354" s="48">
        <v>9125</v>
      </c>
      <c r="E354" s="58" t="str">
        <f t="shared" si="5"/>
        <v>B</v>
      </c>
    </row>
    <row r="355" spans="1:5" x14ac:dyDescent="0.3">
      <c r="A355" s="53" t="s">
        <v>951</v>
      </c>
      <c r="B355" s="41" t="s">
        <v>2255</v>
      </c>
      <c r="C355" s="41" t="s">
        <v>486</v>
      </c>
      <c r="D355" s="48">
        <v>6595</v>
      </c>
      <c r="E355" s="58" t="str">
        <f t="shared" si="5"/>
        <v>B</v>
      </c>
    </row>
    <row r="356" spans="1:5" x14ac:dyDescent="0.3">
      <c r="A356" s="53" t="s">
        <v>952</v>
      </c>
      <c r="B356" s="41" t="s">
        <v>2256</v>
      </c>
      <c r="C356" s="41" t="s">
        <v>487</v>
      </c>
      <c r="D356" s="48">
        <v>6924</v>
      </c>
      <c r="E356" s="58" t="str">
        <f t="shared" si="5"/>
        <v>B</v>
      </c>
    </row>
    <row r="357" spans="1:5" x14ac:dyDescent="0.3">
      <c r="A357" s="53" t="s">
        <v>953</v>
      </c>
      <c r="B357" s="41" t="s">
        <v>2257</v>
      </c>
      <c r="C357" s="41" t="s">
        <v>488</v>
      </c>
      <c r="D357" s="48">
        <v>9345</v>
      </c>
      <c r="E357" s="58" t="str">
        <f t="shared" si="5"/>
        <v>B</v>
      </c>
    </row>
    <row r="358" spans="1:5" x14ac:dyDescent="0.3">
      <c r="A358" s="53" t="s">
        <v>954</v>
      </c>
      <c r="B358" s="41" t="s">
        <v>2258</v>
      </c>
      <c r="C358" s="41" t="s">
        <v>489</v>
      </c>
      <c r="D358" s="48">
        <v>9675</v>
      </c>
      <c r="E358" s="58" t="str">
        <f t="shared" si="5"/>
        <v>B</v>
      </c>
    </row>
    <row r="359" spans="1:5" x14ac:dyDescent="0.3">
      <c r="A359" s="53" t="s">
        <v>955</v>
      </c>
      <c r="B359" s="41" t="s">
        <v>2259</v>
      </c>
      <c r="C359" s="41" t="s">
        <v>490</v>
      </c>
      <c r="D359" s="48">
        <v>10995</v>
      </c>
      <c r="E359" s="58" t="str">
        <f t="shared" si="5"/>
        <v>C</v>
      </c>
    </row>
    <row r="360" spans="1:5" x14ac:dyDescent="0.3">
      <c r="A360" s="53" t="s">
        <v>956</v>
      </c>
      <c r="B360" s="41" t="s">
        <v>2260</v>
      </c>
      <c r="C360" s="41" t="s">
        <v>491</v>
      </c>
      <c r="D360" s="48">
        <v>11325</v>
      </c>
      <c r="E360" s="58" t="str">
        <f t="shared" si="5"/>
        <v>C</v>
      </c>
    </row>
    <row r="361" spans="1:5" x14ac:dyDescent="0.3">
      <c r="A361" s="53" t="s">
        <v>957</v>
      </c>
      <c r="B361" s="41" t="s">
        <v>468</v>
      </c>
      <c r="C361" s="41" t="s">
        <v>469</v>
      </c>
      <c r="D361" s="48">
        <v>2745</v>
      </c>
      <c r="E361" s="58" t="str">
        <f t="shared" si="5"/>
        <v>B</v>
      </c>
    </row>
    <row r="362" spans="1:5" x14ac:dyDescent="0.3">
      <c r="A362" s="53" t="s">
        <v>958</v>
      </c>
      <c r="B362" s="41" t="s">
        <v>470</v>
      </c>
      <c r="C362" s="41" t="s">
        <v>451</v>
      </c>
      <c r="D362" s="48">
        <v>4395</v>
      </c>
      <c r="E362" s="58" t="str">
        <f t="shared" si="5"/>
        <v>B</v>
      </c>
    </row>
    <row r="363" spans="1:5" x14ac:dyDescent="0.3">
      <c r="A363" s="53" t="s">
        <v>959</v>
      </c>
      <c r="B363" s="41" t="s">
        <v>492</v>
      </c>
      <c r="C363" s="41" t="s">
        <v>473</v>
      </c>
      <c r="D363" s="48">
        <v>1095</v>
      </c>
      <c r="E363" s="58" t="str">
        <f t="shared" si="5"/>
        <v>B</v>
      </c>
    </row>
    <row r="364" spans="1:5" x14ac:dyDescent="0.3">
      <c r="A364" s="53" t="s">
        <v>960</v>
      </c>
      <c r="B364" s="41" t="s">
        <v>493</v>
      </c>
      <c r="C364" s="41" t="s">
        <v>475</v>
      </c>
      <c r="D364" s="48">
        <v>1425</v>
      </c>
      <c r="E364" s="58" t="str">
        <f t="shared" si="5"/>
        <v>B</v>
      </c>
    </row>
    <row r="365" spans="1:5" x14ac:dyDescent="0.3">
      <c r="A365" s="53" t="s">
        <v>961</v>
      </c>
      <c r="B365" s="41" t="s">
        <v>494</v>
      </c>
      <c r="C365" s="41" t="s">
        <v>478</v>
      </c>
      <c r="D365" s="48">
        <v>1645</v>
      </c>
      <c r="E365" s="58" t="str">
        <f t="shared" si="5"/>
        <v>B</v>
      </c>
    </row>
    <row r="366" spans="1:5" x14ac:dyDescent="0.3">
      <c r="A366" s="53" t="s">
        <v>962</v>
      </c>
      <c r="B366" s="41" t="s">
        <v>171</v>
      </c>
      <c r="C366" s="41" t="s">
        <v>172</v>
      </c>
      <c r="D366" s="48">
        <v>1975</v>
      </c>
      <c r="E366" s="58" t="str">
        <f t="shared" si="5"/>
        <v>B</v>
      </c>
    </row>
    <row r="367" spans="1:5" x14ac:dyDescent="0.3">
      <c r="A367" s="55" t="s">
        <v>963</v>
      </c>
      <c r="B367" s="33" t="s">
        <v>2229</v>
      </c>
      <c r="C367" s="33" t="s">
        <v>2229</v>
      </c>
      <c r="D367" s="32">
        <v>55</v>
      </c>
      <c r="E367" s="58" t="str">
        <f t="shared" si="5"/>
        <v>A</v>
      </c>
    </row>
    <row r="368" spans="1:5" x14ac:dyDescent="0.3">
      <c r="A368" s="54" t="s">
        <v>964</v>
      </c>
      <c r="B368" s="33" t="s">
        <v>471</v>
      </c>
      <c r="C368" s="33" t="s">
        <v>368</v>
      </c>
      <c r="D368" s="48">
        <v>1095</v>
      </c>
      <c r="E368" s="58" t="str">
        <f t="shared" si="5"/>
        <v>B</v>
      </c>
    </row>
    <row r="369" spans="1:5" x14ac:dyDescent="0.3">
      <c r="A369" s="53" t="s">
        <v>965</v>
      </c>
      <c r="B369" s="41" t="s">
        <v>529</v>
      </c>
      <c r="C369" s="41" t="s">
        <v>530</v>
      </c>
      <c r="D369" s="48">
        <v>1370</v>
      </c>
      <c r="E369" s="58" t="str">
        <f t="shared" si="5"/>
        <v>B</v>
      </c>
    </row>
    <row r="370" spans="1:5" x14ac:dyDescent="0.3">
      <c r="A370" s="53" t="s">
        <v>966</v>
      </c>
      <c r="B370" s="41" t="s">
        <v>531</v>
      </c>
      <c r="C370" s="41" t="s">
        <v>532</v>
      </c>
      <c r="D370" s="48">
        <v>2745</v>
      </c>
      <c r="E370" s="58" t="str">
        <f t="shared" si="5"/>
        <v>B</v>
      </c>
    </row>
    <row r="371" spans="1:5" x14ac:dyDescent="0.3">
      <c r="A371" s="53" t="s">
        <v>967</v>
      </c>
      <c r="B371" s="41" t="s">
        <v>533</v>
      </c>
      <c r="C371" s="41" t="s">
        <v>534</v>
      </c>
      <c r="D371" s="48">
        <v>10995</v>
      </c>
      <c r="E371" s="58" t="str">
        <f t="shared" si="5"/>
        <v>C</v>
      </c>
    </row>
    <row r="372" spans="1:5" x14ac:dyDescent="0.3">
      <c r="A372" s="53" t="s">
        <v>968</v>
      </c>
      <c r="B372" s="41" t="s">
        <v>369</v>
      </c>
      <c r="C372" s="41" t="s">
        <v>370</v>
      </c>
      <c r="D372" s="48">
        <v>17595</v>
      </c>
      <c r="E372" s="58" t="str">
        <f t="shared" si="5"/>
        <v>C</v>
      </c>
    </row>
    <row r="373" spans="1:5" x14ac:dyDescent="0.3">
      <c r="A373" s="56" t="s">
        <v>969</v>
      </c>
      <c r="B373" s="50" t="s">
        <v>371</v>
      </c>
      <c r="C373" s="52" t="s">
        <v>372</v>
      </c>
      <c r="D373" s="48">
        <v>21995</v>
      </c>
      <c r="E373" s="58" t="str">
        <f t="shared" si="5"/>
        <v>C</v>
      </c>
    </row>
    <row r="374" spans="1:5" x14ac:dyDescent="0.3">
      <c r="A374" s="56" t="s">
        <v>970</v>
      </c>
      <c r="B374" s="50" t="s">
        <v>373</v>
      </c>
      <c r="C374" s="33" t="s">
        <v>374</v>
      </c>
      <c r="D374" s="48">
        <v>21995</v>
      </c>
      <c r="E374" s="58" t="str">
        <f t="shared" si="5"/>
        <v>C</v>
      </c>
    </row>
    <row r="375" spans="1:5" x14ac:dyDescent="0.3">
      <c r="A375" s="56" t="s">
        <v>971</v>
      </c>
      <c r="B375" s="50" t="s">
        <v>375</v>
      </c>
      <c r="C375" s="33" t="s">
        <v>376</v>
      </c>
      <c r="D375" s="48">
        <v>21995</v>
      </c>
      <c r="E375" s="58" t="str">
        <f t="shared" si="5"/>
        <v>C</v>
      </c>
    </row>
    <row r="376" spans="1:5" x14ac:dyDescent="0.3">
      <c r="A376" s="56" t="s">
        <v>972</v>
      </c>
      <c r="B376" s="50" t="s">
        <v>377</v>
      </c>
      <c r="C376" s="33" t="s">
        <v>378</v>
      </c>
      <c r="D376" s="48">
        <v>21995</v>
      </c>
      <c r="E376" s="58" t="str">
        <f t="shared" si="5"/>
        <v>C</v>
      </c>
    </row>
    <row r="377" spans="1:5" x14ac:dyDescent="0.3">
      <c r="A377" s="56" t="s">
        <v>973</v>
      </c>
      <c r="B377" s="50" t="s">
        <v>379</v>
      </c>
      <c r="C377" s="33" t="s">
        <v>380</v>
      </c>
      <c r="D377" s="48">
        <v>21995</v>
      </c>
      <c r="E377" s="58" t="str">
        <f t="shared" si="5"/>
        <v>C</v>
      </c>
    </row>
    <row r="378" spans="1:5" x14ac:dyDescent="0.3">
      <c r="A378" s="56" t="s">
        <v>974</v>
      </c>
      <c r="B378" s="50" t="s">
        <v>381</v>
      </c>
      <c r="C378" s="33" t="s">
        <v>382</v>
      </c>
      <c r="D378" s="48">
        <v>21995</v>
      </c>
      <c r="E378" s="58" t="str">
        <f t="shared" si="5"/>
        <v>C</v>
      </c>
    </row>
    <row r="379" spans="1:5" x14ac:dyDescent="0.3">
      <c r="A379" s="56" t="s">
        <v>975</v>
      </c>
      <c r="B379" s="50" t="s">
        <v>383</v>
      </c>
      <c r="C379" s="33" t="s">
        <v>384</v>
      </c>
      <c r="D379" s="48">
        <v>21995</v>
      </c>
      <c r="E379" s="58" t="str">
        <f t="shared" si="5"/>
        <v>C</v>
      </c>
    </row>
    <row r="380" spans="1:5" x14ac:dyDescent="0.3">
      <c r="A380" s="56" t="s">
        <v>976</v>
      </c>
      <c r="B380" s="50" t="s">
        <v>385</v>
      </c>
      <c r="C380" s="33" t="s">
        <v>386</v>
      </c>
      <c r="D380" s="48">
        <v>21995</v>
      </c>
      <c r="E380" s="58" t="str">
        <f t="shared" si="5"/>
        <v>C</v>
      </c>
    </row>
    <row r="381" spans="1:5" x14ac:dyDescent="0.3">
      <c r="A381" s="56" t="s">
        <v>977</v>
      </c>
      <c r="B381" s="50" t="s">
        <v>387</v>
      </c>
      <c r="C381" s="33" t="s">
        <v>388</v>
      </c>
      <c r="D381" s="48">
        <v>21995</v>
      </c>
      <c r="E381" s="58" t="str">
        <f t="shared" si="5"/>
        <v>C</v>
      </c>
    </row>
    <row r="382" spans="1:5" x14ac:dyDescent="0.3">
      <c r="A382" s="56" t="s">
        <v>978</v>
      </c>
      <c r="B382" s="50" t="s">
        <v>389</v>
      </c>
      <c r="C382" s="33" t="s">
        <v>390</v>
      </c>
      <c r="D382" s="48">
        <v>21995</v>
      </c>
      <c r="E382" s="58" t="str">
        <f t="shared" si="5"/>
        <v>C</v>
      </c>
    </row>
    <row r="383" spans="1:5" x14ac:dyDescent="0.3">
      <c r="A383" s="56" t="s">
        <v>979</v>
      </c>
      <c r="B383" s="50" t="s">
        <v>391</v>
      </c>
      <c r="C383" s="33" t="s">
        <v>392</v>
      </c>
      <c r="D383" s="48">
        <v>21995</v>
      </c>
      <c r="E383" s="58" t="str">
        <f t="shared" si="5"/>
        <v>C</v>
      </c>
    </row>
    <row r="384" spans="1:5" x14ac:dyDescent="0.3">
      <c r="A384" s="56" t="s">
        <v>980</v>
      </c>
      <c r="B384" s="50" t="s">
        <v>393</v>
      </c>
      <c r="C384" s="33" t="s">
        <v>394</v>
      </c>
      <c r="D384" s="48">
        <v>21995</v>
      </c>
      <c r="E384" s="58" t="str">
        <f t="shared" si="5"/>
        <v>C</v>
      </c>
    </row>
    <row r="385" spans="1:5" x14ac:dyDescent="0.3">
      <c r="A385" s="56" t="s">
        <v>981</v>
      </c>
      <c r="B385" s="50" t="s">
        <v>395</v>
      </c>
      <c r="C385" s="33" t="s">
        <v>396</v>
      </c>
      <c r="D385" s="48">
        <v>21995</v>
      </c>
      <c r="E385" s="58" t="str">
        <f t="shared" si="5"/>
        <v>C</v>
      </c>
    </row>
    <row r="386" spans="1:5" x14ac:dyDescent="0.3">
      <c r="A386" s="56" t="s">
        <v>982</v>
      </c>
      <c r="B386" s="50" t="s">
        <v>397</v>
      </c>
      <c r="C386" s="33" t="s">
        <v>398</v>
      </c>
      <c r="D386" s="48">
        <v>21995</v>
      </c>
      <c r="E386" s="58" t="str">
        <f t="shared" si="5"/>
        <v>C</v>
      </c>
    </row>
    <row r="387" spans="1:5" x14ac:dyDescent="0.3">
      <c r="A387" s="56" t="s">
        <v>983</v>
      </c>
      <c r="B387" s="50" t="s">
        <v>399</v>
      </c>
      <c r="C387" s="33" t="s">
        <v>400</v>
      </c>
      <c r="D387" s="48">
        <v>21995</v>
      </c>
      <c r="E387" s="58" t="str">
        <f t="shared" si="5"/>
        <v>C</v>
      </c>
    </row>
    <row r="388" spans="1:5" x14ac:dyDescent="0.3">
      <c r="A388" s="56" t="s">
        <v>984</v>
      </c>
      <c r="B388" s="50" t="s">
        <v>401</v>
      </c>
      <c r="C388" s="33" t="s">
        <v>402</v>
      </c>
      <c r="D388" s="48">
        <v>21995</v>
      </c>
      <c r="E388" s="58" t="str">
        <f t="shared" si="5"/>
        <v>C</v>
      </c>
    </row>
    <row r="389" spans="1:5" x14ac:dyDescent="0.3">
      <c r="A389" s="56" t="s">
        <v>985</v>
      </c>
      <c r="B389" s="50" t="s">
        <v>403</v>
      </c>
      <c r="C389" s="33" t="s">
        <v>404</v>
      </c>
      <c r="D389" s="48">
        <v>21995</v>
      </c>
      <c r="E389" s="58" t="str">
        <f t="shared" ref="E389:E452" si="6">VLOOKUP(D389,$G$4:$H$7,2)</f>
        <v>C</v>
      </c>
    </row>
    <row r="390" spans="1:5" x14ac:dyDescent="0.3">
      <c r="A390" s="56" t="s">
        <v>986</v>
      </c>
      <c r="B390" s="50" t="s">
        <v>405</v>
      </c>
      <c r="C390" s="33" t="s">
        <v>406</v>
      </c>
      <c r="D390" s="48">
        <v>21995</v>
      </c>
      <c r="E390" s="58" t="str">
        <f t="shared" si="6"/>
        <v>C</v>
      </c>
    </row>
    <row r="391" spans="1:5" x14ac:dyDescent="0.3">
      <c r="A391" s="56" t="s">
        <v>987</v>
      </c>
      <c r="B391" s="50" t="s">
        <v>407</v>
      </c>
      <c r="C391" s="33" t="s">
        <v>408</v>
      </c>
      <c r="D391" s="48">
        <v>21995</v>
      </c>
      <c r="E391" s="58" t="str">
        <f t="shared" si="6"/>
        <v>C</v>
      </c>
    </row>
    <row r="392" spans="1:5" x14ac:dyDescent="0.3">
      <c r="A392" s="56" t="s">
        <v>988</v>
      </c>
      <c r="B392" s="50" t="s">
        <v>409</v>
      </c>
      <c r="C392" s="33" t="s">
        <v>410</v>
      </c>
      <c r="D392" s="48">
        <v>21995</v>
      </c>
      <c r="E392" s="58" t="str">
        <f t="shared" si="6"/>
        <v>C</v>
      </c>
    </row>
    <row r="393" spans="1:5" x14ac:dyDescent="0.3">
      <c r="A393" s="56" t="s">
        <v>989</v>
      </c>
      <c r="B393" s="50" t="s">
        <v>411</v>
      </c>
      <c r="C393" s="33" t="s">
        <v>412</v>
      </c>
      <c r="D393" s="48">
        <v>21995</v>
      </c>
      <c r="E393" s="58" t="str">
        <f t="shared" si="6"/>
        <v>C</v>
      </c>
    </row>
    <row r="394" spans="1:5" x14ac:dyDescent="0.3">
      <c r="A394" s="56" t="s">
        <v>990</v>
      </c>
      <c r="B394" s="50" t="s">
        <v>413</v>
      </c>
      <c r="C394" s="33" t="s">
        <v>414</v>
      </c>
      <c r="D394" s="48">
        <v>21995</v>
      </c>
      <c r="E394" s="58" t="str">
        <f t="shared" si="6"/>
        <v>C</v>
      </c>
    </row>
    <row r="395" spans="1:5" x14ac:dyDescent="0.3">
      <c r="A395" s="56" t="s">
        <v>991</v>
      </c>
      <c r="B395" s="50" t="s">
        <v>415</v>
      </c>
      <c r="C395" s="33" t="s">
        <v>416</v>
      </c>
      <c r="D395" s="48">
        <v>21995</v>
      </c>
      <c r="E395" s="58" t="str">
        <f t="shared" si="6"/>
        <v>C</v>
      </c>
    </row>
    <row r="396" spans="1:5" x14ac:dyDescent="0.3">
      <c r="A396" s="56" t="s">
        <v>992</v>
      </c>
      <c r="B396" s="50" t="s">
        <v>417</v>
      </c>
      <c r="C396" s="33" t="s">
        <v>418</v>
      </c>
      <c r="D396" s="48">
        <v>21995</v>
      </c>
      <c r="E396" s="58" t="str">
        <f t="shared" si="6"/>
        <v>C</v>
      </c>
    </row>
    <row r="397" spans="1:5" x14ac:dyDescent="0.3">
      <c r="A397" s="56" t="s">
        <v>993</v>
      </c>
      <c r="B397" s="50" t="s">
        <v>419</v>
      </c>
      <c r="C397" s="33" t="s">
        <v>420</v>
      </c>
      <c r="D397" s="48">
        <v>21995</v>
      </c>
      <c r="E397" s="58" t="str">
        <f t="shared" si="6"/>
        <v>C</v>
      </c>
    </row>
    <row r="398" spans="1:5" x14ac:dyDescent="0.3">
      <c r="A398" s="56" t="s">
        <v>994</v>
      </c>
      <c r="B398" s="50" t="s">
        <v>421</v>
      </c>
      <c r="C398" s="33" t="s">
        <v>422</v>
      </c>
      <c r="D398" s="48">
        <v>21995</v>
      </c>
      <c r="E398" s="58" t="str">
        <f t="shared" si="6"/>
        <v>C</v>
      </c>
    </row>
    <row r="399" spans="1:5" x14ac:dyDescent="0.3">
      <c r="A399" s="56" t="s">
        <v>995</v>
      </c>
      <c r="B399" s="50" t="s">
        <v>423</v>
      </c>
      <c r="C399" s="33" t="s">
        <v>424</v>
      </c>
      <c r="D399" s="48">
        <v>21995</v>
      </c>
      <c r="E399" s="58" t="str">
        <f t="shared" si="6"/>
        <v>C</v>
      </c>
    </row>
    <row r="400" spans="1:5" x14ac:dyDescent="0.3">
      <c r="A400" s="56" t="s">
        <v>996</v>
      </c>
      <c r="B400" s="50" t="s">
        <v>425</v>
      </c>
      <c r="C400" s="33" t="s">
        <v>426</v>
      </c>
      <c r="D400" s="48">
        <v>21995</v>
      </c>
      <c r="E400" s="58" t="str">
        <f t="shared" si="6"/>
        <v>C</v>
      </c>
    </row>
    <row r="401" spans="1:5" x14ac:dyDescent="0.3">
      <c r="A401" s="56" t="s">
        <v>997</v>
      </c>
      <c r="B401" s="50" t="s">
        <v>427</v>
      </c>
      <c r="C401" s="33" t="s">
        <v>428</v>
      </c>
      <c r="D401" s="48">
        <v>21995</v>
      </c>
      <c r="E401" s="58" t="str">
        <f t="shared" si="6"/>
        <v>C</v>
      </c>
    </row>
    <row r="402" spans="1:5" x14ac:dyDescent="0.3">
      <c r="A402" s="56" t="s">
        <v>998</v>
      </c>
      <c r="B402" s="50" t="s">
        <v>429</v>
      </c>
      <c r="C402" s="33" t="s">
        <v>430</v>
      </c>
      <c r="D402" s="48">
        <v>21995</v>
      </c>
      <c r="E402" s="58" t="str">
        <f t="shared" si="6"/>
        <v>C</v>
      </c>
    </row>
    <row r="403" spans="1:5" x14ac:dyDescent="0.3">
      <c r="A403" s="56" t="s">
        <v>999</v>
      </c>
      <c r="B403" s="50" t="s">
        <v>431</v>
      </c>
      <c r="C403" s="33" t="s">
        <v>432</v>
      </c>
      <c r="D403" s="48">
        <v>21995</v>
      </c>
      <c r="E403" s="58" t="str">
        <f t="shared" si="6"/>
        <v>C</v>
      </c>
    </row>
    <row r="404" spans="1:5" x14ac:dyDescent="0.3">
      <c r="A404" s="56" t="s">
        <v>1000</v>
      </c>
      <c r="B404" s="50" t="s">
        <v>433</v>
      </c>
      <c r="C404" s="33" t="s">
        <v>434</v>
      </c>
      <c r="D404" s="48">
        <v>21995</v>
      </c>
      <c r="E404" s="58" t="str">
        <f t="shared" si="6"/>
        <v>C</v>
      </c>
    </row>
    <row r="405" spans="1:5" x14ac:dyDescent="0.3">
      <c r="A405" s="56" t="s">
        <v>1001</v>
      </c>
      <c r="B405" s="50" t="s">
        <v>435</v>
      </c>
      <c r="C405" s="33" t="s">
        <v>436</v>
      </c>
      <c r="D405" s="48">
        <v>21995</v>
      </c>
      <c r="E405" s="58" t="str">
        <f t="shared" si="6"/>
        <v>C</v>
      </c>
    </row>
    <row r="406" spans="1:5" x14ac:dyDescent="0.3">
      <c r="A406" s="56" t="s">
        <v>1002</v>
      </c>
      <c r="B406" s="50" t="s">
        <v>437</v>
      </c>
      <c r="C406" s="33" t="s">
        <v>438</v>
      </c>
      <c r="D406" s="48">
        <v>21995</v>
      </c>
      <c r="E406" s="58" t="str">
        <f t="shared" si="6"/>
        <v>C</v>
      </c>
    </row>
    <row r="407" spans="1:5" x14ac:dyDescent="0.3">
      <c r="A407" s="56" t="s">
        <v>1003</v>
      </c>
      <c r="B407" s="50" t="s">
        <v>439</v>
      </c>
      <c r="C407" s="33" t="s">
        <v>440</v>
      </c>
      <c r="D407" s="48">
        <v>21995</v>
      </c>
      <c r="E407" s="58" t="str">
        <f t="shared" si="6"/>
        <v>C</v>
      </c>
    </row>
    <row r="408" spans="1:5" x14ac:dyDescent="0.3">
      <c r="A408" s="56" t="s">
        <v>1004</v>
      </c>
      <c r="B408" s="50" t="s">
        <v>441</v>
      </c>
      <c r="C408" s="33" t="s">
        <v>442</v>
      </c>
      <c r="D408" s="48">
        <v>21995</v>
      </c>
      <c r="E408" s="58" t="str">
        <f t="shared" si="6"/>
        <v>C</v>
      </c>
    </row>
    <row r="409" spans="1:5" x14ac:dyDescent="0.3">
      <c r="A409" s="56" t="s">
        <v>1005</v>
      </c>
      <c r="B409" s="50" t="s">
        <v>443</v>
      </c>
      <c r="C409" s="33" t="s">
        <v>444</v>
      </c>
      <c r="D409" s="48">
        <v>21995</v>
      </c>
      <c r="E409" s="58" t="str">
        <f t="shared" si="6"/>
        <v>C</v>
      </c>
    </row>
    <row r="410" spans="1:5" x14ac:dyDescent="0.3">
      <c r="A410" s="56" t="s">
        <v>1006</v>
      </c>
      <c r="B410" s="50" t="s">
        <v>445</v>
      </c>
      <c r="C410" s="33" t="s">
        <v>446</v>
      </c>
      <c r="D410" s="48">
        <v>21995</v>
      </c>
      <c r="E410" s="58" t="str">
        <f t="shared" si="6"/>
        <v>C</v>
      </c>
    </row>
    <row r="411" spans="1:5" x14ac:dyDescent="0.3">
      <c r="A411" s="56" t="s">
        <v>1007</v>
      </c>
      <c r="B411" s="50" t="s">
        <v>447</v>
      </c>
      <c r="C411" s="33" t="s">
        <v>448</v>
      </c>
      <c r="D411" s="48">
        <v>21995</v>
      </c>
      <c r="E411" s="58" t="str">
        <f t="shared" si="6"/>
        <v>C</v>
      </c>
    </row>
    <row r="412" spans="1:5" x14ac:dyDescent="0.3">
      <c r="A412" s="56" t="s">
        <v>1008</v>
      </c>
      <c r="B412" s="50" t="s">
        <v>449</v>
      </c>
      <c r="C412" s="33" t="s">
        <v>450</v>
      </c>
      <c r="D412" s="48">
        <v>21995</v>
      </c>
      <c r="E412" s="58" t="str">
        <f t="shared" si="6"/>
        <v>C</v>
      </c>
    </row>
    <row r="413" spans="1:5" x14ac:dyDescent="0.3">
      <c r="A413" s="53" t="s">
        <v>1009</v>
      </c>
      <c r="B413" s="41" t="s">
        <v>546</v>
      </c>
      <c r="C413" s="41" t="s">
        <v>547</v>
      </c>
      <c r="D413" s="48">
        <v>1095</v>
      </c>
      <c r="E413" s="58" t="str">
        <f t="shared" si="6"/>
        <v>B</v>
      </c>
    </row>
    <row r="414" spans="1:5" x14ac:dyDescent="0.3">
      <c r="A414" s="53" t="s">
        <v>1010</v>
      </c>
      <c r="B414" s="41" t="s">
        <v>544</v>
      </c>
      <c r="C414" s="41" t="s">
        <v>545</v>
      </c>
      <c r="D414" s="48">
        <v>490</v>
      </c>
      <c r="E414" s="58" t="str">
        <f t="shared" si="6"/>
        <v>A</v>
      </c>
    </row>
    <row r="415" spans="1:5" x14ac:dyDescent="0.3">
      <c r="A415" s="53" t="s">
        <v>1011</v>
      </c>
      <c r="B415" s="41" t="s">
        <v>359</v>
      </c>
      <c r="C415" s="41" t="s">
        <v>360</v>
      </c>
      <c r="D415" s="48">
        <v>325</v>
      </c>
      <c r="E415" s="58" t="str">
        <f t="shared" si="6"/>
        <v>A</v>
      </c>
    </row>
    <row r="416" spans="1:5" x14ac:dyDescent="0.3">
      <c r="A416" s="53" t="s">
        <v>1012</v>
      </c>
      <c r="B416" s="41" t="s">
        <v>548</v>
      </c>
      <c r="C416" s="41" t="s">
        <v>549</v>
      </c>
      <c r="D416" s="48">
        <v>4395</v>
      </c>
      <c r="E416" s="58" t="str">
        <f t="shared" si="6"/>
        <v>B</v>
      </c>
    </row>
    <row r="417" spans="1:5" x14ac:dyDescent="0.3">
      <c r="A417" s="53" t="s">
        <v>1013</v>
      </c>
      <c r="B417" s="41" t="s">
        <v>588</v>
      </c>
      <c r="C417" s="41" t="s">
        <v>589</v>
      </c>
      <c r="D417" s="48">
        <v>5495</v>
      </c>
      <c r="E417" s="58" t="str">
        <f t="shared" si="6"/>
        <v>B</v>
      </c>
    </row>
    <row r="418" spans="1:5" x14ac:dyDescent="0.3">
      <c r="A418" s="53" t="s">
        <v>1014</v>
      </c>
      <c r="B418" s="41" t="s">
        <v>1851</v>
      </c>
      <c r="C418" s="41" t="s">
        <v>550</v>
      </c>
      <c r="D418" s="48">
        <v>5495</v>
      </c>
      <c r="E418" s="58" t="str">
        <f t="shared" si="6"/>
        <v>B</v>
      </c>
    </row>
    <row r="419" spans="1:5" x14ac:dyDescent="0.3">
      <c r="A419" s="53" t="s">
        <v>1015</v>
      </c>
      <c r="B419" s="41" t="s">
        <v>1852</v>
      </c>
      <c r="C419" s="41" t="s">
        <v>551</v>
      </c>
      <c r="D419" s="48">
        <v>5495</v>
      </c>
      <c r="E419" s="58" t="str">
        <f t="shared" si="6"/>
        <v>B</v>
      </c>
    </row>
    <row r="420" spans="1:5" x14ac:dyDescent="0.3">
      <c r="A420" s="53" t="s">
        <v>1016</v>
      </c>
      <c r="B420" s="41" t="s">
        <v>1853</v>
      </c>
      <c r="C420" s="41" t="s">
        <v>552</v>
      </c>
      <c r="D420" s="48">
        <v>5495</v>
      </c>
      <c r="E420" s="58" t="str">
        <f t="shared" si="6"/>
        <v>B</v>
      </c>
    </row>
    <row r="421" spans="1:5" x14ac:dyDescent="0.3">
      <c r="A421" s="53" t="s">
        <v>1017</v>
      </c>
      <c r="B421" s="41" t="s">
        <v>1854</v>
      </c>
      <c r="C421" s="41" t="s">
        <v>553</v>
      </c>
      <c r="D421" s="48">
        <v>5495</v>
      </c>
      <c r="E421" s="58" t="str">
        <f t="shared" si="6"/>
        <v>B</v>
      </c>
    </row>
    <row r="422" spans="1:5" x14ac:dyDescent="0.3">
      <c r="A422" s="53" t="s">
        <v>1018</v>
      </c>
      <c r="B422" s="41" t="s">
        <v>1855</v>
      </c>
      <c r="C422" s="41" t="s">
        <v>554</v>
      </c>
      <c r="D422" s="48">
        <v>5495</v>
      </c>
      <c r="E422" s="58" t="str">
        <f t="shared" si="6"/>
        <v>B</v>
      </c>
    </row>
    <row r="423" spans="1:5" x14ac:dyDescent="0.3">
      <c r="A423" s="53" t="s">
        <v>1019</v>
      </c>
      <c r="B423" s="41" t="s">
        <v>1856</v>
      </c>
      <c r="C423" s="41" t="s">
        <v>555</v>
      </c>
      <c r="D423" s="48">
        <v>5495</v>
      </c>
      <c r="E423" s="58" t="str">
        <f t="shared" si="6"/>
        <v>B</v>
      </c>
    </row>
    <row r="424" spans="1:5" x14ac:dyDescent="0.3">
      <c r="A424" s="53" t="s">
        <v>1020</v>
      </c>
      <c r="B424" s="41" t="s">
        <v>1857</v>
      </c>
      <c r="C424" s="41" t="s">
        <v>556</v>
      </c>
      <c r="D424" s="48">
        <v>5495</v>
      </c>
      <c r="E424" s="58" t="str">
        <f t="shared" si="6"/>
        <v>B</v>
      </c>
    </row>
    <row r="425" spans="1:5" x14ac:dyDescent="0.3">
      <c r="A425" s="53" t="s">
        <v>1021</v>
      </c>
      <c r="B425" s="41" t="s">
        <v>1858</v>
      </c>
      <c r="C425" s="41" t="s">
        <v>557</v>
      </c>
      <c r="D425" s="48">
        <v>5495</v>
      </c>
      <c r="E425" s="58" t="str">
        <f t="shared" si="6"/>
        <v>B</v>
      </c>
    </row>
    <row r="426" spans="1:5" x14ac:dyDescent="0.3">
      <c r="A426" s="53" t="s">
        <v>1022</v>
      </c>
      <c r="B426" s="41" t="s">
        <v>2261</v>
      </c>
      <c r="C426" s="41" t="s">
        <v>2262</v>
      </c>
      <c r="D426" s="48">
        <v>5495</v>
      </c>
      <c r="E426" s="58" t="str">
        <f t="shared" si="6"/>
        <v>B</v>
      </c>
    </row>
    <row r="427" spans="1:5" x14ac:dyDescent="0.3">
      <c r="A427" s="53" t="s">
        <v>1023</v>
      </c>
      <c r="B427" s="41" t="s">
        <v>2263</v>
      </c>
      <c r="C427" s="41" t="s">
        <v>177</v>
      </c>
      <c r="D427" s="48">
        <v>5825</v>
      </c>
      <c r="E427" s="58" t="str">
        <f t="shared" si="6"/>
        <v>B</v>
      </c>
    </row>
    <row r="428" spans="1:5" x14ac:dyDescent="0.3">
      <c r="A428" s="54" t="s">
        <v>1024</v>
      </c>
      <c r="B428" s="33" t="s">
        <v>2264</v>
      </c>
      <c r="C428" s="33" t="s">
        <v>178</v>
      </c>
      <c r="D428" s="32">
        <v>21995</v>
      </c>
      <c r="E428" s="58" t="str">
        <f t="shared" si="6"/>
        <v>C</v>
      </c>
    </row>
    <row r="429" spans="1:5" x14ac:dyDescent="0.3">
      <c r="A429" s="56" t="s">
        <v>1025</v>
      </c>
      <c r="B429" s="33" t="s">
        <v>2265</v>
      </c>
      <c r="C429" s="33" t="s">
        <v>179</v>
      </c>
      <c r="D429" s="32">
        <v>22325</v>
      </c>
      <c r="E429" s="58" t="str">
        <f t="shared" si="6"/>
        <v>C</v>
      </c>
    </row>
    <row r="430" spans="1:5" x14ac:dyDescent="0.3">
      <c r="A430" s="56" t="s">
        <v>1026</v>
      </c>
      <c r="B430" s="33" t="s">
        <v>2266</v>
      </c>
      <c r="C430" s="33" t="s">
        <v>180</v>
      </c>
      <c r="D430" s="32">
        <v>25295</v>
      </c>
      <c r="E430" s="58" t="str">
        <f t="shared" si="6"/>
        <v>D</v>
      </c>
    </row>
    <row r="431" spans="1:5" x14ac:dyDescent="0.3">
      <c r="A431" s="56" t="s">
        <v>1027</v>
      </c>
      <c r="B431" s="33" t="s">
        <v>2267</v>
      </c>
      <c r="C431" s="33" t="s">
        <v>181</v>
      </c>
      <c r="D431" s="32">
        <v>25625</v>
      </c>
      <c r="E431" s="58" t="str">
        <f t="shared" si="6"/>
        <v>D</v>
      </c>
    </row>
    <row r="432" spans="1:5" x14ac:dyDescent="0.3">
      <c r="A432" s="54" t="s">
        <v>1028</v>
      </c>
      <c r="B432" s="33" t="s">
        <v>2268</v>
      </c>
      <c r="C432" s="33" t="s">
        <v>182</v>
      </c>
      <c r="D432" s="48">
        <v>19795</v>
      </c>
      <c r="E432" s="58" t="str">
        <f t="shared" si="6"/>
        <v>C</v>
      </c>
    </row>
    <row r="433" spans="1:5" x14ac:dyDescent="0.3">
      <c r="A433" s="54" t="s">
        <v>1029</v>
      </c>
      <c r="B433" s="33" t="s">
        <v>2269</v>
      </c>
      <c r="C433" s="33" t="s">
        <v>183</v>
      </c>
      <c r="D433" s="48">
        <v>30795</v>
      </c>
      <c r="E433" s="58" t="str">
        <f t="shared" si="6"/>
        <v>D</v>
      </c>
    </row>
    <row r="434" spans="1:5" x14ac:dyDescent="0.3">
      <c r="A434" s="54" t="s">
        <v>1030</v>
      </c>
      <c r="B434" s="33" t="s">
        <v>2270</v>
      </c>
      <c r="C434" s="33" t="s">
        <v>184</v>
      </c>
      <c r="D434" s="48">
        <v>20095</v>
      </c>
      <c r="E434" s="58" t="str">
        <f t="shared" si="6"/>
        <v>C</v>
      </c>
    </row>
    <row r="435" spans="1:5" x14ac:dyDescent="0.3">
      <c r="A435" s="54" t="s">
        <v>1031</v>
      </c>
      <c r="B435" s="33" t="s">
        <v>2271</v>
      </c>
      <c r="C435" s="33" t="s">
        <v>185</v>
      </c>
      <c r="D435" s="32">
        <v>13195</v>
      </c>
      <c r="E435" s="58" t="str">
        <f t="shared" si="6"/>
        <v>C</v>
      </c>
    </row>
    <row r="436" spans="1:5" x14ac:dyDescent="0.3">
      <c r="A436" s="54" t="s">
        <v>1032</v>
      </c>
      <c r="B436" s="33" t="s">
        <v>2272</v>
      </c>
      <c r="C436" s="33" t="s">
        <v>186</v>
      </c>
      <c r="D436" s="32">
        <v>13525</v>
      </c>
      <c r="E436" s="58" t="str">
        <f t="shared" si="6"/>
        <v>C</v>
      </c>
    </row>
    <row r="437" spans="1:5" x14ac:dyDescent="0.3">
      <c r="A437" s="54" t="s">
        <v>1033</v>
      </c>
      <c r="B437" s="33" t="s">
        <v>2273</v>
      </c>
      <c r="C437" s="33" t="s">
        <v>187</v>
      </c>
      <c r="D437" s="48">
        <v>31095</v>
      </c>
      <c r="E437" s="58" t="str">
        <f t="shared" si="6"/>
        <v>D</v>
      </c>
    </row>
    <row r="438" spans="1:5" x14ac:dyDescent="0.3">
      <c r="A438" s="54" t="s">
        <v>1034</v>
      </c>
      <c r="B438" s="33" t="s">
        <v>2274</v>
      </c>
      <c r="C438" s="33" t="s">
        <v>188</v>
      </c>
      <c r="D438" s="32">
        <v>25295</v>
      </c>
      <c r="E438" s="58" t="str">
        <f t="shared" si="6"/>
        <v>D</v>
      </c>
    </row>
    <row r="439" spans="1:5" x14ac:dyDescent="0.3">
      <c r="A439" s="54" t="s">
        <v>1035</v>
      </c>
      <c r="B439" s="33" t="s">
        <v>2275</v>
      </c>
      <c r="C439" s="33" t="s">
        <v>189</v>
      </c>
      <c r="D439" s="32">
        <v>25625</v>
      </c>
      <c r="E439" s="58" t="str">
        <f t="shared" si="6"/>
        <v>D</v>
      </c>
    </row>
    <row r="440" spans="1:5" x14ac:dyDescent="0.3">
      <c r="A440" s="53" t="s">
        <v>1036</v>
      </c>
      <c r="B440" s="41" t="s">
        <v>2276</v>
      </c>
      <c r="C440" s="41" t="s">
        <v>2276</v>
      </c>
      <c r="D440" s="48">
        <v>10995</v>
      </c>
      <c r="E440" s="58" t="str">
        <f t="shared" si="6"/>
        <v>C</v>
      </c>
    </row>
    <row r="441" spans="1:5" x14ac:dyDescent="0.3">
      <c r="A441" s="53" t="s">
        <v>1037</v>
      </c>
      <c r="B441" s="41" t="s">
        <v>2277</v>
      </c>
      <c r="C441" s="41" t="s">
        <v>2277</v>
      </c>
      <c r="D441" s="48">
        <v>9895</v>
      </c>
      <c r="E441" s="58" t="str">
        <f t="shared" si="6"/>
        <v>B</v>
      </c>
    </row>
    <row r="442" spans="1:5" x14ac:dyDescent="0.3">
      <c r="A442" s="53" t="s">
        <v>1038</v>
      </c>
      <c r="B442" s="41" t="s">
        <v>2278</v>
      </c>
      <c r="C442" s="41" t="s">
        <v>2278</v>
      </c>
      <c r="D442" s="48">
        <v>14295</v>
      </c>
      <c r="E442" s="58" t="str">
        <f t="shared" si="6"/>
        <v>C</v>
      </c>
    </row>
    <row r="443" spans="1:5" x14ac:dyDescent="0.3">
      <c r="A443" s="53" t="s">
        <v>1039</v>
      </c>
      <c r="B443" s="41" t="s">
        <v>2279</v>
      </c>
      <c r="C443" s="41" t="s">
        <v>2279</v>
      </c>
      <c r="D443" s="48">
        <v>15395</v>
      </c>
      <c r="E443" s="58" t="str">
        <f t="shared" si="6"/>
        <v>C</v>
      </c>
    </row>
    <row r="444" spans="1:5" x14ac:dyDescent="0.3">
      <c r="A444" s="53" t="s">
        <v>1040</v>
      </c>
      <c r="B444" s="41" t="s">
        <v>2280</v>
      </c>
      <c r="C444" s="41" t="s">
        <v>2280</v>
      </c>
      <c r="D444" s="48">
        <v>19795</v>
      </c>
      <c r="E444" s="58" t="str">
        <f t="shared" si="6"/>
        <v>C</v>
      </c>
    </row>
    <row r="445" spans="1:5" x14ac:dyDescent="0.3">
      <c r="A445" s="53" t="s">
        <v>1041</v>
      </c>
      <c r="B445" s="33" t="s">
        <v>2281</v>
      </c>
      <c r="C445" s="33" t="s">
        <v>190</v>
      </c>
      <c r="D445" s="48">
        <v>6595</v>
      </c>
      <c r="E445" s="58" t="str">
        <f t="shared" si="6"/>
        <v>B</v>
      </c>
    </row>
    <row r="446" spans="1:5" x14ac:dyDescent="0.3">
      <c r="A446" s="54" t="s">
        <v>1042</v>
      </c>
      <c r="B446" s="33" t="s">
        <v>2282</v>
      </c>
      <c r="C446" s="33" t="s">
        <v>191</v>
      </c>
      <c r="D446" s="48">
        <v>12095</v>
      </c>
      <c r="E446" s="58" t="str">
        <f t="shared" si="6"/>
        <v>C</v>
      </c>
    </row>
    <row r="447" spans="1:5" x14ac:dyDescent="0.3">
      <c r="A447" s="54" t="s">
        <v>1043</v>
      </c>
      <c r="B447" s="33" t="s">
        <v>2283</v>
      </c>
      <c r="C447" s="33" t="s">
        <v>192</v>
      </c>
      <c r="D447" s="48">
        <v>14295</v>
      </c>
      <c r="E447" s="58" t="str">
        <f t="shared" si="6"/>
        <v>C</v>
      </c>
    </row>
    <row r="448" spans="1:5" x14ac:dyDescent="0.3">
      <c r="A448" s="54" t="s">
        <v>1044</v>
      </c>
      <c r="B448" s="33" t="s">
        <v>2284</v>
      </c>
      <c r="C448" s="33" t="s">
        <v>193</v>
      </c>
      <c r="D448" s="48">
        <v>19795</v>
      </c>
      <c r="E448" s="58" t="str">
        <f t="shared" si="6"/>
        <v>C</v>
      </c>
    </row>
    <row r="449" spans="1:5" x14ac:dyDescent="0.3">
      <c r="A449" s="54" t="s">
        <v>1045</v>
      </c>
      <c r="B449" s="33" t="s">
        <v>194</v>
      </c>
      <c r="C449" s="33" t="s">
        <v>195</v>
      </c>
      <c r="D449" s="32">
        <v>9895</v>
      </c>
      <c r="E449" s="58" t="str">
        <f t="shared" si="6"/>
        <v>B</v>
      </c>
    </row>
    <row r="450" spans="1:5" x14ac:dyDescent="0.3">
      <c r="A450" s="54" t="s">
        <v>1046</v>
      </c>
      <c r="B450" s="33" t="s">
        <v>2285</v>
      </c>
      <c r="C450" s="33" t="s">
        <v>506</v>
      </c>
      <c r="D450" s="32">
        <v>7255</v>
      </c>
      <c r="E450" s="58" t="str">
        <f t="shared" si="6"/>
        <v>B</v>
      </c>
    </row>
    <row r="451" spans="1:5" x14ac:dyDescent="0.3">
      <c r="A451" s="53" t="s">
        <v>1047</v>
      </c>
      <c r="B451" s="41" t="s">
        <v>2286</v>
      </c>
      <c r="C451" s="41" t="s">
        <v>2286</v>
      </c>
      <c r="D451" s="48">
        <v>3845</v>
      </c>
      <c r="E451" s="58" t="str">
        <f t="shared" si="6"/>
        <v>B</v>
      </c>
    </row>
    <row r="452" spans="1:5" x14ac:dyDescent="0.3">
      <c r="A452" s="53" t="s">
        <v>1048</v>
      </c>
      <c r="B452" s="41" t="s">
        <v>2287</v>
      </c>
      <c r="C452" s="41" t="s">
        <v>2287</v>
      </c>
      <c r="D452" s="48">
        <v>4395</v>
      </c>
      <c r="E452" s="58" t="str">
        <f t="shared" si="6"/>
        <v>B</v>
      </c>
    </row>
    <row r="453" spans="1:5" x14ac:dyDescent="0.3">
      <c r="A453" s="53" t="s">
        <v>1049</v>
      </c>
      <c r="B453" s="41" t="s">
        <v>2288</v>
      </c>
      <c r="C453" s="41" t="s">
        <v>2288</v>
      </c>
      <c r="D453" s="48">
        <v>6595</v>
      </c>
      <c r="E453" s="58" t="str">
        <f t="shared" ref="E453:E516" si="7">VLOOKUP(D453,$G$4:$H$7,2)</f>
        <v>B</v>
      </c>
    </row>
    <row r="454" spans="1:5" x14ac:dyDescent="0.3">
      <c r="A454" s="53" t="s">
        <v>1050</v>
      </c>
      <c r="B454" s="41" t="s">
        <v>2289</v>
      </c>
      <c r="C454" s="41" t="s">
        <v>2289</v>
      </c>
      <c r="D454" s="48">
        <v>7695</v>
      </c>
      <c r="E454" s="58" t="str">
        <f t="shared" si="7"/>
        <v>B</v>
      </c>
    </row>
    <row r="455" spans="1:5" x14ac:dyDescent="0.3">
      <c r="A455" s="53" t="s">
        <v>1051</v>
      </c>
      <c r="B455" s="41" t="s">
        <v>2290</v>
      </c>
      <c r="C455" s="41" t="s">
        <v>2290</v>
      </c>
      <c r="D455" s="48">
        <v>5495</v>
      </c>
      <c r="E455" s="58" t="str">
        <f t="shared" si="7"/>
        <v>B</v>
      </c>
    </row>
    <row r="456" spans="1:5" x14ac:dyDescent="0.3">
      <c r="A456" s="53" t="s">
        <v>1052</v>
      </c>
      <c r="B456" s="41" t="s">
        <v>2291</v>
      </c>
      <c r="C456" s="41" t="s">
        <v>2291</v>
      </c>
      <c r="D456" s="48">
        <v>6595</v>
      </c>
      <c r="E456" s="58" t="str">
        <f t="shared" si="7"/>
        <v>B</v>
      </c>
    </row>
    <row r="457" spans="1:5" x14ac:dyDescent="0.3">
      <c r="A457" s="53" t="s">
        <v>1053</v>
      </c>
      <c r="B457" s="41" t="s">
        <v>196</v>
      </c>
      <c r="C457" s="41" t="s">
        <v>196</v>
      </c>
      <c r="D457" s="48">
        <v>550</v>
      </c>
      <c r="E457" s="58" t="str">
        <f t="shared" si="7"/>
        <v>A</v>
      </c>
    </row>
    <row r="458" spans="1:5" x14ac:dyDescent="0.3">
      <c r="A458" s="53" t="s">
        <v>1054</v>
      </c>
      <c r="B458" s="41" t="s">
        <v>2292</v>
      </c>
      <c r="C458" s="41" t="s">
        <v>2292</v>
      </c>
      <c r="D458" s="48">
        <v>1645</v>
      </c>
      <c r="E458" s="58" t="str">
        <f t="shared" si="7"/>
        <v>B</v>
      </c>
    </row>
    <row r="459" spans="1:5" x14ac:dyDescent="0.3">
      <c r="A459" s="53" t="s">
        <v>1055</v>
      </c>
      <c r="B459" s="41" t="s">
        <v>2293</v>
      </c>
      <c r="C459" s="41" t="s">
        <v>2293</v>
      </c>
      <c r="D459" s="48">
        <v>1975</v>
      </c>
      <c r="E459" s="58" t="str">
        <f t="shared" si="7"/>
        <v>B</v>
      </c>
    </row>
    <row r="460" spans="1:5" x14ac:dyDescent="0.3">
      <c r="A460" s="53" t="s">
        <v>1056</v>
      </c>
      <c r="B460" s="41" t="s">
        <v>2292</v>
      </c>
      <c r="C460" s="41" t="s">
        <v>2292</v>
      </c>
      <c r="D460" s="48">
        <v>1645</v>
      </c>
      <c r="E460" s="58" t="str">
        <f t="shared" si="7"/>
        <v>B</v>
      </c>
    </row>
    <row r="461" spans="1:5" x14ac:dyDescent="0.3">
      <c r="A461" s="54" t="s">
        <v>1057</v>
      </c>
      <c r="B461" s="41" t="s">
        <v>2294</v>
      </c>
      <c r="C461" s="41" t="s">
        <v>2294</v>
      </c>
      <c r="D461" s="32">
        <v>1975</v>
      </c>
      <c r="E461" s="58" t="str">
        <f t="shared" si="7"/>
        <v>B</v>
      </c>
    </row>
    <row r="462" spans="1:5" x14ac:dyDescent="0.3">
      <c r="A462" s="54" t="s">
        <v>1058</v>
      </c>
      <c r="B462" s="33" t="s">
        <v>2295</v>
      </c>
      <c r="C462" s="33" t="s">
        <v>2295</v>
      </c>
      <c r="D462" s="48">
        <v>2195</v>
      </c>
      <c r="E462" s="58" t="str">
        <f t="shared" si="7"/>
        <v>B</v>
      </c>
    </row>
    <row r="463" spans="1:5" x14ac:dyDescent="0.3">
      <c r="A463" s="53" t="s">
        <v>1059</v>
      </c>
      <c r="B463" s="41" t="s">
        <v>2296</v>
      </c>
      <c r="C463" s="41" t="s">
        <v>2296</v>
      </c>
      <c r="D463" s="48">
        <v>88</v>
      </c>
      <c r="E463" s="58" t="str">
        <f t="shared" si="7"/>
        <v>A</v>
      </c>
    </row>
    <row r="464" spans="1:5" x14ac:dyDescent="0.3">
      <c r="A464" s="54" t="s">
        <v>1060</v>
      </c>
      <c r="B464" s="33" t="s">
        <v>471</v>
      </c>
      <c r="C464" s="33" t="s">
        <v>368</v>
      </c>
      <c r="D464" s="48">
        <v>1095</v>
      </c>
      <c r="E464" s="58" t="str">
        <f t="shared" si="7"/>
        <v>B</v>
      </c>
    </row>
    <row r="465" spans="1:5" x14ac:dyDescent="0.3">
      <c r="A465" s="53" t="s">
        <v>1061</v>
      </c>
      <c r="B465" s="41" t="s">
        <v>529</v>
      </c>
      <c r="C465" s="41" t="s">
        <v>530</v>
      </c>
      <c r="D465" s="48">
        <v>1370</v>
      </c>
      <c r="E465" s="58" t="str">
        <f t="shared" si="7"/>
        <v>B</v>
      </c>
    </row>
    <row r="466" spans="1:5" x14ac:dyDescent="0.3">
      <c r="A466" s="53" t="s">
        <v>1062</v>
      </c>
      <c r="B466" s="41" t="s">
        <v>531</v>
      </c>
      <c r="C466" s="41" t="s">
        <v>532</v>
      </c>
      <c r="D466" s="48">
        <v>2745</v>
      </c>
      <c r="E466" s="58" t="str">
        <f t="shared" si="7"/>
        <v>B</v>
      </c>
    </row>
    <row r="467" spans="1:5" x14ac:dyDescent="0.3">
      <c r="A467" s="53" t="s">
        <v>1063</v>
      </c>
      <c r="B467" s="41" t="s">
        <v>533</v>
      </c>
      <c r="C467" s="41" t="s">
        <v>534</v>
      </c>
      <c r="D467" s="48">
        <v>10995</v>
      </c>
      <c r="E467" s="58" t="str">
        <f t="shared" si="7"/>
        <v>C</v>
      </c>
    </row>
    <row r="468" spans="1:5" x14ac:dyDescent="0.3">
      <c r="A468" s="53" t="s">
        <v>1064</v>
      </c>
      <c r="B468" s="41" t="s">
        <v>369</v>
      </c>
      <c r="C468" s="41" t="s">
        <v>370</v>
      </c>
      <c r="D468" s="48">
        <v>17595</v>
      </c>
      <c r="E468" s="58" t="str">
        <f t="shared" si="7"/>
        <v>C</v>
      </c>
    </row>
    <row r="469" spans="1:5" x14ac:dyDescent="0.3">
      <c r="A469" s="56" t="s">
        <v>1065</v>
      </c>
      <c r="B469" s="50" t="s">
        <v>371</v>
      </c>
      <c r="C469" s="52" t="s">
        <v>372</v>
      </c>
      <c r="D469" s="48">
        <v>21995</v>
      </c>
      <c r="E469" s="58" t="str">
        <f t="shared" si="7"/>
        <v>C</v>
      </c>
    </row>
    <row r="470" spans="1:5" x14ac:dyDescent="0.3">
      <c r="A470" s="56" t="s">
        <v>1066</v>
      </c>
      <c r="B470" s="50" t="s">
        <v>373</v>
      </c>
      <c r="C470" s="33" t="s">
        <v>374</v>
      </c>
      <c r="D470" s="48">
        <v>21995</v>
      </c>
      <c r="E470" s="58" t="str">
        <f t="shared" si="7"/>
        <v>C</v>
      </c>
    </row>
    <row r="471" spans="1:5" x14ac:dyDescent="0.3">
      <c r="A471" s="56" t="s">
        <v>1067</v>
      </c>
      <c r="B471" s="50" t="s">
        <v>375</v>
      </c>
      <c r="C471" s="33" t="s">
        <v>376</v>
      </c>
      <c r="D471" s="48">
        <v>21995</v>
      </c>
      <c r="E471" s="58" t="str">
        <f t="shared" si="7"/>
        <v>C</v>
      </c>
    </row>
    <row r="472" spans="1:5" x14ac:dyDescent="0.3">
      <c r="A472" s="56" t="s">
        <v>1068</v>
      </c>
      <c r="B472" s="50" t="s">
        <v>377</v>
      </c>
      <c r="C472" s="33" t="s">
        <v>378</v>
      </c>
      <c r="D472" s="48">
        <v>21995</v>
      </c>
      <c r="E472" s="58" t="str">
        <f t="shared" si="7"/>
        <v>C</v>
      </c>
    </row>
    <row r="473" spans="1:5" x14ac:dyDescent="0.3">
      <c r="A473" s="56" t="s">
        <v>1069</v>
      </c>
      <c r="B473" s="50" t="s">
        <v>379</v>
      </c>
      <c r="C473" s="33" t="s">
        <v>380</v>
      </c>
      <c r="D473" s="48">
        <v>21995</v>
      </c>
      <c r="E473" s="58" t="str">
        <f t="shared" si="7"/>
        <v>C</v>
      </c>
    </row>
    <row r="474" spans="1:5" x14ac:dyDescent="0.3">
      <c r="A474" s="56" t="s">
        <v>1070</v>
      </c>
      <c r="B474" s="50" t="s">
        <v>381</v>
      </c>
      <c r="C474" s="33" t="s">
        <v>382</v>
      </c>
      <c r="D474" s="48">
        <v>21995</v>
      </c>
      <c r="E474" s="58" t="str">
        <f t="shared" si="7"/>
        <v>C</v>
      </c>
    </row>
    <row r="475" spans="1:5" x14ac:dyDescent="0.3">
      <c r="A475" s="56" t="s">
        <v>1071</v>
      </c>
      <c r="B475" s="50" t="s">
        <v>383</v>
      </c>
      <c r="C475" s="33" t="s">
        <v>384</v>
      </c>
      <c r="D475" s="48">
        <v>21995</v>
      </c>
      <c r="E475" s="58" t="str">
        <f t="shared" si="7"/>
        <v>C</v>
      </c>
    </row>
    <row r="476" spans="1:5" x14ac:dyDescent="0.3">
      <c r="A476" s="56" t="s">
        <v>1072</v>
      </c>
      <c r="B476" s="50" t="s">
        <v>385</v>
      </c>
      <c r="C476" s="33" t="s">
        <v>386</v>
      </c>
      <c r="D476" s="48">
        <v>21995</v>
      </c>
      <c r="E476" s="58" t="str">
        <f t="shared" si="7"/>
        <v>C</v>
      </c>
    </row>
    <row r="477" spans="1:5" x14ac:dyDescent="0.3">
      <c r="A477" s="56" t="s">
        <v>1073</v>
      </c>
      <c r="B477" s="50" t="s">
        <v>387</v>
      </c>
      <c r="C477" s="33" t="s">
        <v>388</v>
      </c>
      <c r="D477" s="48">
        <v>21995</v>
      </c>
      <c r="E477" s="58" t="str">
        <f t="shared" si="7"/>
        <v>C</v>
      </c>
    </row>
    <row r="478" spans="1:5" x14ac:dyDescent="0.3">
      <c r="A478" s="56" t="s">
        <v>1074</v>
      </c>
      <c r="B478" s="50" t="s">
        <v>389</v>
      </c>
      <c r="C478" s="33" t="s">
        <v>390</v>
      </c>
      <c r="D478" s="48">
        <v>21995</v>
      </c>
      <c r="E478" s="58" t="str">
        <f t="shared" si="7"/>
        <v>C</v>
      </c>
    </row>
    <row r="479" spans="1:5" x14ac:dyDescent="0.3">
      <c r="A479" s="56" t="s">
        <v>1075</v>
      </c>
      <c r="B479" s="50" t="s">
        <v>391</v>
      </c>
      <c r="C479" s="33" t="s">
        <v>392</v>
      </c>
      <c r="D479" s="48">
        <v>21995</v>
      </c>
      <c r="E479" s="58" t="str">
        <f t="shared" si="7"/>
        <v>C</v>
      </c>
    </row>
    <row r="480" spans="1:5" x14ac:dyDescent="0.3">
      <c r="A480" s="56" t="s">
        <v>1076</v>
      </c>
      <c r="B480" s="50" t="s">
        <v>393</v>
      </c>
      <c r="C480" s="33" t="s">
        <v>394</v>
      </c>
      <c r="D480" s="48">
        <v>21995</v>
      </c>
      <c r="E480" s="58" t="str">
        <f t="shared" si="7"/>
        <v>C</v>
      </c>
    </row>
    <row r="481" spans="1:5" x14ac:dyDescent="0.3">
      <c r="A481" s="56" t="s">
        <v>1077</v>
      </c>
      <c r="B481" s="50" t="s">
        <v>395</v>
      </c>
      <c r="C481" s="33" t="s">
        <v>396</v>
      </c>
      <c r="D481" s="48">
        <v>21995</v>
      </c>
      <c r="E481" s="58" t="str">
        <f t="shared" si="7"/>
        <v>C</v>
      </c>
    </row>
    <row r="482" spans="1:5" x14ac:dyDescent="0.3">
      <c r="A482" s="56" t="s">
        <v>1078</v>
      </c>
      <c r="B482" s="50" t="s">
        <v>397</v>
      </c>
      <c r="C482" s="33" t="s">
        <v>398</v>
      </c>
      <c r="D482" s="48">
        <v>21995</v>
      </c>
      <c r="E482" s="58" t="str">
        <f t="shared" si="7"/>
        <v>C</v>
      </c>
    </row>
    <row r="483" spans="1:5" x14ac:dyDescent="0.3">
      <c r="A483" s="56" t="s">
        <v>1079</v>
      </c>
      <c r="B483" s="50" t="s">
        <v>399</v>
      </c>
      <c r="C483" s="33" t="s">
        <v>400</v>
      </c>
      <c r="D483" s="48">
        <v>21995</v>
      </c>
      <c r="E483" s="58" t="str">
        <f t="shared" si="7"/>
        <v>C</v>
      </c>
    </row>
    <row r="484" spans="1:5" x14ac:dyDescent="0.3">
      <c r="A484" s="56" t="s">
        <v>1080</v>
      </c>
      <c r="B484" s="50" t="s">
        <v>401</v>
      </c>
      <c r="C484" s="33" t="s">
        <v>402</v>
      </c>
      <c r="D484" s="48">
        <v>21995</v>
      </c>
      <c r="E484" s="58" t="str">
        <f t="shared" si="7"/>
        <v>C</v>
      </c>
    </row>
    <row r="485" spans="1:5" x14ac:dyDescent="0.3">
      <c r="A485" s="56" t="s">
        <v>1081</v>
      </c>
      <c r="B485" s="50" t="s">
        <v>403</v>
      </c>
      <c r="C485" s="33" t="s">
        <v>404</v>
      </c>
      <c r="D485" s="48">
        <v>21995</v>
      </c>
      <c r="E485" s="58" t="str">
        <f t="shared" si="7"/>
        <v>C</v>
      </c>
    </row>
    <row r="486" spans="1:5" x14ac:dyDescent="0.3">
      <c r="A486" s="56" t="s">
        <v>1082</v>
      </c>
      <c r="B486" s="50" t="s">
        <v>405</v>
      </c>
      <c r="C486" s="33" t="s">
        <v>406</v>
      </c>
      <c r="D486" s="48">
        <v>21995</v>
      </c>
      <c r="E486" s="58" t="str">
        <f t="shared" si="7"/>
        <v>C</v>
      </c>
    </row>
    <row r="487" spans="1:5" x14ac:dyDescent="0.3">
      <c r="A487" s="56" t="s">
        <v>1083</v>
      </c>
      <c r="B487" s="50" t="s">
        <v>407</v>
      </c>
      <c r="C487" s="33" t="s">
        <v>408</v>
      </c>
      <c r="D487" s="48">
        <v>21995</v>
      </c>
      <c r="E487" s="58" t="str">
        <f t="shared" si="7"/>
        <v>C</v>
      </c>
    </row>
    <row r="488" spans="1:5" x14ac:dyDescent="0.3">
      <c r="A488" s="56" t="s">
        <v>1084</v>
      </c>
      <c r="B488" s="50" t="s">
        <v>409</v>
      </c>
      <c r="C488" s="33" t="s">
        <v>410</v>
      </c>
      <c r="D488" s="48">
        <v>21995</v>
      </c>
      <c r="E488" s="58" t="str">
        <f t="shared" si="7"/>
        <v>C</v>
      </c>
    </row>
    <row r="489" spans="1:5" x14ac:dyDescent="0.3">
      <c r="A489" s="56" t="s">
        <v>1085</v>
      </c>
      <c r="B489" s="50" t="s">
        <v>411</v>
      </c>
      <c r="C489" s="33" t="s">
        <v>412</v>
      </c>
      <c r="D489" s="48">
        <v>21995</v>
      </c>
      <c r="E489" s="58" t="str">
        <f t="shared" si="7"/>
        <v>C</v>
      </c>
    </row>
    <row r="490" spans="1:5" x14ac:dyDescent="0.3">
      <c r="A490" s="56" t="s">
        <v>1086</v>
      </c>
      <c r="B490" s="50" t="s">
        <v>413</v>
      </c>
      <c r="C490" s="33" t="s">
        <v>414</v>
      </c>
      <c r="D490" s="48">
        <v>21995</v>
      </c>
      <c r="E490" s="58" t="str">
        <f t="shared" si="7"/>
        <v>C</v>
      </c>
    </row>
    <row r="491" spans="1:5" x14ac:dyDescent="0.3">
      <c r="A491" s="56" t="s">
        <v>1087</v>
      </c>
      <c r="B491" s="50" t="s">
        <v>415</v>
      </c>
      <c r="C491" s="33" t="s">
        <v>416</v>
      </c>
      <c r="D491" s="48">
        <v>21995</v>
      </c>
      <c r="E491" s="58" t="str">
        <f t="shared" si="7"/>
        <v>C</v>
      </c>
    </row>
    <row r="492" spans="1:5" x14ac:dyDescent="0.3">
      <c r="A492" s="56" t="s">
        <v>1088</v>
      </c>
      <c r="B492" s="50" t="s">
        <v>417</v>
      </c>
      <c r="C492" s="33" t="s">
        <v>418</v>
      </c>
      <c r="D492" s="48">
        <v>21995</v>
      </c>
      <c r="E492" s="58" t="str">
        <f t="shared" si="7"/>
        <v>C</v>
      </c>
    </row>
    <row r="493" spans="1:5" x14ac:dyDescent="0.3">
      <c r="A493" s="56" t="s">
        <v>1089</v>
      </c>
      <c r="B493" s="50" t="s">
        <v>419</v>
      </c>
      <c r="C493" s="33" t="s">
        <v>420</v>
      </c>
      <c r="D493" s="48">
        <v>21995</v>
      </c>
      <c r="E493" s="58" t="str">
        <f t="shared" si="7"/>
        <v>C</v>
      </c>
    </row>
    <row r="494" spans="1:5" x14ac:dyDescent="0.3">
      <c r="A494" s="56" t="s">
        <v>1090</v>
      </c>
      <c r="B494" s="50" t="s">
        <v>421</v>
      </c>
      <c r="C494" s="33" t="s">
        <v>422</v>
      </c>
      <c r="D494" s="48">
        <v>21995</v>
      </c>
      <c r="E494" s="58" t="str">
        <f t="shared" si="7"/>
        <v>C</v>
      </c>
    </row>
    <row r="495" spans="1:5" x14ac:dyDescent="0.3">
      <c r="A495" s="56" t="s">
        <v>1091</v>
      </c>
      <c r="B495" s="50" t="s">
        <v>423</v>
      </c>
      <c r="C495" s="33" t="s">
        <v>424</v>
      </c>
      <c r="D495" s="48">
        <v>21995</v>
      </c>
      <c r="E495" s="58" t="str">
        <f t="shared" si="7"/>
        <v>C</v>
      </c>
    </row>
    <row r="496" spans="1:5" x14ac:dyDescent="0.3">
      <c r="A496" s="56" t="s">
        <v>1092</v>
      </c>
      <c r="B496" s="50" t="s">
        <v>425</v>
      </c>
      <c r="C496" s="33" t="s">
        <v>426</v>
      </c>
      <c r="D496" s="48">
        <v>21995</v>
      </c>
      <c r="E496" s="58" t="str">
        <f t="shared" si="7"/>
        <v>C</v>
      </c>
    </row>
    <row r="497" spans="1:5" x14ac:dyDescent="0.3">
      <c r="A497" s="56" t="s">
        <v>1093</v>
      </c>
      <c r="B497" s="50" t="s">
        <v>427</v>
      </c>
      <c r="C497" s="33" t="s">
        <v>428</v>
      </c>
      <c r="D497" s="48">
        <v>21995</v>
      </c>
      <c r="E497" s="58" t="str">
        <f t="shared" si="7"/>
        <v>C</v>
      </c>
    </row>
    <row r="498" spans="1:5" x14ac:dyDescent="0.3">
      <c r="A498" s="56" t="s">
        <v>1094</v>
      </c>
      <c r="B498" s="50" t="s">
        <v>429</v>
      </c>
      <c r="C498" s="33" t="s">
        <v>430</v>
      </c>
      <c r="D498" s="48">
        <v>21995</v>
      </c>
      <c r="E498" s="58" t="str">
        <f t="shared" si="7"/>
        <v>C</v>
      </c>
    </row>
    <row r="499" spans="1:5" x14ac:dyDescent="0.3">
      <c r="A499" s="56" t="s">
        <v>1095</v>
      </c>
      <c r="B499" s="50" t="s">
        <v>431</v>
      </c>
      <c r="C499" s="33" t="s">
        <v>432</v>
      </c>
      <c r="D499" s="48">
        <v>21995</v>
      </c>
      <c r="E499" s="58" t="str">
        <f t="shared" si="7"/>
        <v>C</v>
      </c>
    </row>
    <row r="500" spans="1:5" x14ac:dyDescent="0.3">
      <c r="A500" s="56" t="s">
        <v>1096</v>
      </c>
      <c r="B500" s="50" t="s">
        <v>433</v>
      </c>
      <c r="C500" s="33" t="s">
        <v>434</v>
      </c>
      <c r="D500" s="48">
        <v>21995</v>
      </c>
      <c r="E500" s="58" t="str">
        <f t="shared" si="7"/>
        <v>C</v>
      </c>
    </row>
    <row r="501" spans="1:5" x14ac:dyDescent="0.3">
      <c r="A501" s="56" t="s">
        <v>1097</v>
      </c>
      <c r="B501" s="50" t="s">
        <v>435</v>
      </c>
      <c r="C501" s="33" t="s">
        <v>436</v>
      </c>
      <c r="D501" s="48">
        <v>21995</v>
      </c>
      <c r="E501" s="58" t="str">
        <f t="shared" si="7"/>
        <v>C</v>
      </c>
    </row>
    <row r="502" spans="1:5" x14ac:dyDescent="0.3">
      <c r="A502" s="56" t="s">
        <v>1098</v>
      </c>
      <c r="B502" s="50" t="s">
        <v>437</v>
      </c>
      <c r="C502" s="33" t="s">
        <v>438</v>
      </c>
      <c r="D502" s="48">
        <v>21995</v>
      </c>
      <c r="E502" s="58" t="str">
        <f t="shared" si="7"/>
        <v>C</v>
      </c>
    </row>
    <row r="503" spans="1:5" x14ac:dyDescent="0.3">
      <c r="A503" s="56" t="s">
        <v>1099</v>
      </c>
      <c r="B503" s="50" t="s">
        <v>439</v>
      </c>
      <c r="C503" s="33" t="s">
        <v>440</v>
      </c>
      <c r="D503" s="48">
        <v>21995</v>
      </c>
      <c r="E503" s="58" t="str">
        <f t="shared" si="7"/>
        <v>C</v>
      </c>
    </row>
    <row r="504" spans="1:5" x14ac:dyDescent="0.3">
      <c r="A504" s="56" t="s">
        <v>1100</v>
      </c>
      <c r="B504" s="50" t="s">
        <v>441</v>
      </c>
      <c r="C504" s="33" t="s">
        <v>442</v>
      </c>
      <c r="D504" s="48">
        <v>21995</v>
      </c>
      <c r="E504" s="58" t="str">
        <f t="shared" si="7"/>
        <v>C</v>
      </c>
    </row>
    <row r="505" spans="1:5" x14ac:dyDescent="0.3">
      <c r="A505" s="56" t="s">
        <v>1101</v>
      </c>
      <c r="B505" s="50" t="s">
        <v>443</v>
      </c>
      <c r="C505" s="33" t="s">
        <v>444</v>
      </c>
      <c r="D505" s="48">
        <v>21995</v>
      </c>
      <c r="E505" s="58" t="str">
        <f t="shared" si="7"/>
        <v>C</v>
      </c>
    </row>
    <row r="506" spans="1:5" x14ac:dyDescent="0.3">
      <c r="A506" s="56" t="s">
        <v>1102</v>
      </c>
      <c r="B506" s="50" t="s">
        <v>445</v>
      </c>
      <c r="C506" s="33" t="s">
        <v>446</v>
      </c>
      <c r="D506" s="48">
        <v>21995</v>
      </c>
      <c r="E506" s="58" t="str">
        <f t="shared" si="7"/>
        <v>C</v>
      </c>
    </row>
    <row r="507" spans="1:5" x14ac:dyDescent="0.3">
      <c r="A507" s="56" t="s">
        <v>1103</v>
      </c>
      <c r="B507" s="50" t="s">
        <v>447</v>
      </c>
      <c r="C507" s="33" t="s">
        <v>448</v>
      </c>
      <c r="D507" s="48">
        <v>21995</v>
      </c>
      <c r="E507" s="58" t="str">
        <f t="shared" si="7"/>
        <v>C</v>
      </c>
    </row>
    <row r="508" spans="1:5" x14ac:dyDescent="0.3">
      <c r="A508" s="56" t="s">
        <v>1104</v>
      </c>
      <c r="B508" s="50" t="s">
        <v>449</v>
      </c>
      <c r="C508" s="33" t="s">
        <v>450</v>
      </c>
      <c r="D508" s="48">
        <v>21995</v>
      </c>
      <c r="E508" s="58" t="str">
        <f t="shared" si="7"/>
        <v>C</v>
      </c>
    </row>
    <row r="509" spans="1:5" x14ac:dyDescent="0.3">
      <c r="A509" s="53" t="s">
        <v>1105</v>
      </c>
      <c r="B509" s="41" t="s">
        <v>546</v>
      </c>
      <c r="C509" s="41" t="s">
        <v>547</v>
      </c>
      <c r="D509" s="48">
        <v>1095</v>
      </c>
      <c r="E509" s="58" t="str">
        <f t="shared" si="7"/>
        <v>B</v>
      </c>
    </row>
    <row r="510" spans="1:5" x14ac:dyDescent="0.3">
      <c r="A510" s="53" t="s">
        <v>1106</v>
      </c>
      <c r="B510" s="41" t="s">
        <v>544</v>
      </c>
      <c r="C510" s="41" t="s">
        <v>545</v>
      </c>
      <c r="D510" s="48">
        <v>490</v>
      </c>
      <c r="E510" s="58" t="str">
        <f t="shared" si="7"/>
        <v>A</v>
      </c>
    </row>
    <row r="511" spans="1:5" x14ac:dyDescent="0.3">
      <c r="A511" s="53" t="s">
        <v>1107</v>
      </c>
      <c r="B511" s="41" t="s">
        <v>359</v>
      </c>
      <c r="C511" s="41" t="s">
        <v>360</v>
      </c>
      <c r="D511" s="48">
        <v>325</v>
      </c>
      <c r="E511" s="58" t="str">
        <f t="shared" si="7"/>
        <v>A</v>
      </c>
    </row>
    <row r="512" spans="1:5" x14ac:dyDescent="0.3">
      <c r="A512" s="54" t="s">
        <v>1108</v>
      </c>
      <c r="B512" s="33" t="s">
        <v>500</v>
      </c>
      <c r="C512" s="33" t="s">
        <v>353</v>
      </c>
      <c r="D512" s="32">
        <v>325</v>
      </c>
      <c r="E512" s="58" t="str">
        <f t="shared" si="7"/>
        <v>A</v>
      </c>
    </row>
    <row r="513" spans="1:5" x14ac:dyDescent="0.3">
      <c r="A513" s="54" t="s">
        <v>1109</v>
      </c>
      <c r="B513" s="33" t="s">
        <v>501</v>
      </c>
      <c r="C513" s="33" t="s">
        <v>354</v>
      </c>
      <c r="D513" s="32">
        <v>435</v>
      </c>
      <c r="E513" s="58" t="str">
        <f t="shared" si="7"/>
        <v>A</v>
      </c>
    </row>
    <row r="514" spans="1:5" x14ac:dyDescent="0.3">
      <c r="A514" s="53" t="s">
        <v>1110</v>
      </c>
      <c r="B514" s="41" t="s">
        <v>548</v>
      </c>
      <c r="C514" s="41" t="s">
        <v>549</v>
      </c>
      <c r="D514" s="48">
        <v>4395</v>
      </c>
      <c r="E514" s="58" t="str">
        <f t="shared" si="7"/>
        <v>B</v>
      </c>
    </row>
    <row r="515" spans="1:5" x14ac:dyDescent="0.3">
      <c r="A515" s="53" t="s">
        <v>1111</v>
      </c>
      <c r="B515" s="41" t="s">
        <v>588</v>
      </c>
      <c r="C515" s="41" t="s">
        <v>589</v>
      </c>
      <c r="D515" s="48">
        <v>5495</v>
      </c>
      <c r="E515" s="58" t="str">
        <f t="shared" si="7"/>
        <v>B</v>
      </c>
    </row>
    <row r="516" spans="1:5" x14ac:dyDescent="0.3">
      <c r="A516" s="53" t="s">
        <v>1112</v>
      </c>
      <c r="B516" s="41" t="s">
        <v>1851</v>
      </c>
      <c r="C516" s="41" t="s">
        <v>550</v>
      </c>
      <c r="D516" s="48">
        <v>5495</v>
      </c>
      <c r="E516" s="58" t="str">
        <f t="shared" si="7"/>
        <v>B</v>
      </c>
    </row>
    <row r="517" spans="1:5" x14ac:dyDescent="0.3">
      <c r="A517" s="53" t="s">
        <v>1113</v>
      </c>
      <c r="B517" s="41" t="s">
        <v>1852</v>
      </c>
      <c r="C517" s="41" t="s">
        <v>551</v>
      </c>
      <c r="D517" s="48">
        <v>5495</v>
      </c>
      <c r="E517" s="58" t="str">
        <f t="shared" ref="E517:E580" si="8">VLOOKUP(D517,$G$4:$H$7,2)</f>
        <v>B</v>
      </c>
    </row>
    <row r="518" spans="1:5" x14ac:dyDescent="0.3">
      <c r="A518" s="53" t="s">
        <v>1114</v>
      </c>
      <c r="B518" s="41" t="s">
        <v>1853</v>
      </c>
      <c r="C518" s="41" t="s">
        <v>552</v>
      </c>
      <c r="D518" s="48">
        <v>5495</v>
      </c>
      <c r="E518" s="58" t="str">
        <f t="shared" si="8"/>
        <v>B</v>
      </c>
    </row>
    <row r="519" spans="1:5" x14ac:dyDescent="0.3">
      <c r="A519" s="53" t="s">
        <v>1115</v>
      </c>
      <c r="B519" s="41" t="s">
        <v>1854</v>
      </c>
      <c r="C519" s="41" t="s">
        <v>553</v>
      </c>
      <c r="D519" s="48">
        <v>5495</v>
      </c>
      <c r="E519" s="58" t="str">
        <f t="shared" si="8"/>
        <v>B</v>
      </c>
    </row>
    <row r="520" spans="1:5" x14ac:dyDescent="0.3">
      <c r="A520" s="53" t="s">
        <v>1116</v>
      </c>
      <c r="B520" s="41" t="s">
        <v>1855</v>
      </c>
      <c r="C520" s="41" t="s">
        <v>554</v>
      </c>
      <c r="D520" s="48">
        <v>5495</v>
      </c>
      <c r="E520" s="58" t="str">
        <f t="shared" si="8"/>
        <v>B</v>
      </c>
    </row>
    <row r="521" spans="1:5" x14ac:dyDescent="0.3">
      <c r="A521" s="53" t="s">
        <v>1117</v>
      </c>
      <c r="B521" s="41" t="s">
        <v>1856</v>
      </c>
      <c r="C521" s="41" t="s">
        <v>555</v>
      </c>
      <c r="D521" s="48">
        <v>5495</v>
      </c>
      <c r="E521" s="58" t="str">
        <f t="shared" si="8"/>
        <v>B</v>
      </c>
    </row>
    <row r="522" spans="1:5" x14ac:dyDescent="0.3">
      <c r="A522" s="53" t="s">
        <v>1118</v>
      </c>
      <c r="B522" s="41" t="s">
        <v>1857</v>
      </c>
      <c r="C522" s="41" t="s">
        <v>556</v>
      </c>
      <c r="D522" s="48">
        <v>5495</v>
      </c>
      <c r="E522" s="58" t="str">
        <f t="shared" si="8"/>
        <v>B</v>
      </c>
    </row>
    <row r="523" spans="1:5" x14ac:dyDescent="0.3">
      <c r="A523" s="53" t="s">
        <v>1119</v>
      </c>
      <c r="B523" s="41" t="s">
        <v>1858</v>
      </c>
      <c r="C523" s="41" t="s">
        <v>557</v>
      </c>
      <c r="D523" s="48">
        <v>5495</v>
      </c>
      <c r="E523" s="58" t="str">
        <f t="shared" si="8"/>
        <v>B</v>
      </c>
    </row>
    <row r="524" spans="1:5" x14ac:dyDescent="0.3">
      <c r="A524" s="53" t="s">
        <v>1120</v>
      </c>
      <c r="B524" s="41" t="s">
        <v>363</v>
      </c>
      <c r="C524" s="41" t="s">
        <v>364</v>
      </c>
      <c r="D524" s="48">
        <v>1315</v>
      </c>
      <c r="E524" s="58" t="str">
        <f t="shared" si="8"/>
        <v>B</v>
      </c>
    </row>
    <row r="525" spans="1:5" x14ac:dyDescent="0.3">
      <c r="A525" s="53" t="s">
        <v>1121</v>
      </c>
      <c r="B525" s="41" t="s">
        <v>365</v>
      </c>
      <c r="C525" s="41" t="s">
        <v>366</v>
      </c>
      <c r="D525" s="48">
        <v>1315</v>
      </c>
      <c r="E525" s="58" t="str">
        <f t="shared" si="8"/>
        <v>B</v>
      </c>
    </row>
    <row r="526" spans="1:5" x14ac:dyDescent="0.3">
      <c r="A526" s="53" t="s">
        <v>1122</v>
      </c>
      <c r="B526" s="41" t="s">
        <v>361</v>
      </c>
      <c r="C526" s="41" t="s">
        <v>362</v>
      </c>
      <c r="D526" s="48">
        <v>655</v>
      </c>
      <c r="E526" s="58" t="str">
        <f t="shared" si="8"/>
        <v>A</v>
      </c>
    </row>
    <row r="527" spans="1:5" x14ac:dyDescent="0.3">
      <c r="A527" s="53" t="s">
        <v>1123</v>
      </c>
      <c r="B527" s="41" t="s">
        <v>2297</v>
      </c>
      <c r="C527" s="41" t="s">
        <v>197</v>
      </c>
      <c r="D527" s="48">
        <v>3515</v>
      </c>
      <c r="E527" s="58" t="str">
        <f t="shared" si="8"/>
        <v>B</v>
      </c>
    </row>
    <row r="528" spans="1:5" x14ac:dyDescent="0.3">
      <c r="A528" s="54" t="s">
        <v>1124</v>
      </c>
      <c r="B528" s="33" t="s">
        <v>2298</v>
      </c>
      <c r="C528" s="33" t="s">
        <v>2298</v>
      </c>
      <c r="D528" s="48">
        <v>7145</v>
      </c>
      <c r="E528" s="58" t="str">
        <f t="shared" si="8"/>
        <v>B</v>
      </c>
    </row>
    <row r="529" spans="1:5" x14ac:dyDescent="0.3">
      <c r="A529" s="54" t="s">
        <v>1125</v>
      </c>
      <c r="B529" s="33" t="s">
        <v>2299</v>
      </c>
      <c r="C529" s="33" t="s">
        <v>2299</v>
      </c>
      <c r="D529" s="48">
        <v>20895</v>
      </c>
      <c r="E529" s="58" t="str">
        <f t="shared" si="8"/>
        <v>C</v>
      </c>
    </row>
    <row r="530" spans="1:5" x14ac:dyDescent="0.3">
      <c r="A530" s="54" t="s">
        <v>1126</v>
      </c>
      <c r="B530" s="33" t="s">
        <v>198</v>
      </c>
      <c r="C530" s="33" t="s">
        <v>198</v>
      </c>
      <c r="D530" s="32">
        <v>65</v>
      </c>
      <c r="E530" s="58" t="str">
        <f t="shared" si="8"/>
        <v>A</v>
      </c>
    </row>
    <row r="531" spans="1:5" x14ac:dyDescent="0.3">
      <c r="A531" s="54" t="s">
        <v>1127</v>
      </c>
      <c r="B531" s="33" t="s">
        <v>199</v>
      </c>
      <c r="C531" s="33" t="s">
        <v>199</v>
      </c>
      <c r="D531" s="32">
        <v>105</v>
      </c>
      <c r="E531" s="58" t="str">
        <f t="shared" si="8"/>
        <v>A</v>
      </c>
    </row>
    <row r="532" spans="1:5" x14ac:dyDescent="0.3">
      <c r="A532" s="53" t="s">
        <v>1128</v>
      </c>
      <c r="B532" s="41" t="s">
        <v>2300</v>
      </c>
      <c r="C532" s="41" t="s">
        <v>200</v>
      </c>
      <c r="D532" s="48">
        <v>495</v>
      </c>
      <c r="E532" s="58" t="str">
        <f t="shared" si="8"/>
        <v>A</v>
      </c>
    </row>
    <row r="533" spans="1:5" x14ac:dyDescent="0.3">
      <c r="A533" s="54" t="s">
        <v>1129</v>
      </c>
      <c r="B533" s="33" t="s">
        <v>201</v>
      </c>
      <c r="C533" s="33" t="s">
        <v>201</v>
      </c>
      <c r="D533" s="32">
        <v>1095</v>
      </c>
      <c r="E533" s="58" t="str">
        <f t="shared" si="8"/>
        <v>B</v>
      </c>
    </row>
    <row r="534" spans="1:5" x14ac:dyDescent="0.3">
      <c r="A534" s="54" t="s">
        <v>1130</v>
      </c>
      <c r="B534" s="33" t="s">
        <v>202</v>
      </c>
      <c r="C534" s="33" t="s">
        <v>202</v>
      </c>
      <c r="D534" s="32">
        <v>1095</v>
      </c>
      <c r="E534" s="58" t="str">
        <f t="shared" si="8"/>
        <v>B</v>
      </c>
    </row>
    <row r="535" spans="1:5" x14ac:dyDescent="0.3">
      <c r="A535" s="54" t="s">
        <v>1131</v>
      </c>
      <c r="B535" s="33" t="s">
        <v>203</v>
      </c>
      <c r="C535" s="33" t="s">
        <v>203</v>
      </c>
      <c r="D535" s="32">
        <v>135</v>
      </c>
      <c r="E535" s="58" t="str">
        <f t="shared" si="8"/>
        <v>A</v>
      </c>
    </row>
    <row r="536" spans="1:5" x14ac:dyDescent="0.3">
      <c r="A536" s="54" t="s">
        <v>1132</v>
      </c>
      <c r="B536" s="33" t="s">
        <v>2301</v>
      </c>
      <c r="C536" s="33" t="s">
        <v>204</v>
      </c>
      <c r="D536" s="48">
        <v>7695</v>
      </c>
      <c r="E536" s="58" t="str">
        <f t="shared" si="8"/>
        <v>B</v>
      </c>
    </row>
    <row r="537" spans="1:5" x14ac:dyDescent="0.3">
      <c r="A537" s="56" t="s">
        <v>1133</v>
      </c>
      <c r="B537" s="33" t="s">
        <v>1990</v>
      </c>
      <c r="C537" s="33" t="s">
        <v>1990</v>
      </c>
      <c r="D537" s="48">
        <v>3075</v>
      </c>
      <c r="E537" s="58" t="str">
        <f t="shared" si="8"/>
        <v>B</v>
      </c>
    </row>
    <row r="538" spans="1:5" x14ac:dyDescent="0.3">
      <c r="A538" s="56" t="s">
        <v>1134</v>
      </c>
      <c r="B538" s="33" t="s">
        <v>1991</v>
      </c>
      <c r="C538" s="33" t="s">
        <v>1991</v>
      </c>
      <c r="D538" s="48">
        <v>10555</v>
      </c>
      <c r="E538" s="58" t="str">
        <f t="shared" si="8"/>
        <v>C</v>
      </c>
    </row>
    <row r="539" spans="1:5" x14ac:dyDescent="0.3">
      <c r="A539" s="56" t="s">
        <v>1135</v>
      </c>
      <c r="B539" s="33" t="s">
        <v>1992</v>
      </c>
      <c r="C539" s="33" t="s">
        <v>1992</v>
      </c>
      <c r="D539" s="48">
        <v>16935</v>
      </c>
      <c r="E539" s="58" t="str">
        <f t="shared" si="8"/>
        <v>C</v>
      </c>
    </row>
    <row r="540" spans="1:5" x14ac:dyDescent="0.3">
      <c r="A540" s="56" t="s">
        <v>1136</v>
      </c>
      <c r="B540" s="33" t="s">
        <v>1993</v>
      </c>
      <c r="C540" s="33" t="s">
        <v>1993</v>
      </c>
      <c r="D540" s="48">
        <v>15395</v>
      </c>
      <c r="E540" s="58" t="str">
        <f t="shared" si="8"/>
        <v>C</v>
      </c>
    </row>
    <row r="541" spans="1:5" x14ac:dyDescent="0.3">
      <c r="A541" s="56" t="s">
        <v>1137</v>
      </c>
      <c r="B541" s="33" t="s">
        <v>1994</v>
      </c>
      <c r="C541" s="33" t="s">
        <v>1994</v>
      </c>
      <c r="D541" s="48">
        <v>23095</v>
      </c>
      <c r="E541" s="58" t="str">
        <f t="shared" si="8"/>
        <v>C</v>
      </c>
    </row>
    <row r="542" spans="1:5" x14ac:dyDescent="0.3">
      <c r="A542" s="56" t="s">
        <v>1138</v>
      </c>
      <c r="B542" s="33" t="s">
        <v>1995</v>
      </c>
      <c r="C542" s="33" t="s">
        <v>1995</v>
      </c>
      <c r="D542" s="48">
        <v>34095</v>
      </c>
      <c r="E542" s="58" t="str">
        <f t="shared" si="8"/>
        <v>D</v>
      </c>
    </row>
    <row r="543" spans="1:5" x14ac:dyDescent="0.3">
      <c r="A543" s="56" t="s">
        <v>1139</v>
      </c>
      <c r="B543" s="33" t="s">
        <v>1996</v>
      </c>
      <c r="C543" s="33" t="s">
        <v>1996</v>
      </c>
      <c r="D543" s="48">
        <v>39265</v>
      </c>
      <c r="E543" s="58" t="str">
        <f t="shared" si="8"/>
        <v>D</v>
      </c>
    </row>
    <row r="544" spans="1:5" x14ac:dyDescent="0.3">
      <c r="A544" s="56" t="s">
        <v>1140</v>
      </c>
      <c r="B544" s="33" t="s">
        <v>1997</v>
      </c>
      <c r="C544" s="33" t="s">
        <v>1997</v>
      </c>
      <c r="D544" s="48">
        <v>55655</v>
      </c>
      <c r="E544" s="58" t="str">
        <f t="shared" si="8"/>
        <v>D</v>
      </c>
    </row>
    <row r="545" spans="1:5" x14ac:dyDescent="0.3">
      <c r="A545" s="54" t="s">
        <v>1141</v>
      </c>
      <c r="B545" s="33" t="s">
        <v>1998</v>
      </c>
      <c r="C545" s="33" t="s">
        <v>1998</v>
      </c>
      <c r="D545" s="32">
        <v>575</v>
      </c>
      <c r="E545" s="58" t="str">
        <f t="shared" si="8"/>
        <v>A</v>
      </c>
    </row>
    <row r="546" spans="1:5" x14ac:dyDescent="0.3">
      <c r="A546" s="56" t="s">
        <v>1142</v>
      </c>
      <c r="B546" s="33" t="s">
        <v>1999</v>
      </c>
      <c r="C546" s="33" t="s">
        <v>2000</v>
      </c>
      <c r="D546" s="48">
        <v>765</v>
      </c>
      <c r="E546" s="58" t="str">
        <f t="shared" si="8"/>
        <v>A</v>
      </c>
    </row>
    <row r="547" spans="1:5" x14ac:dyDescent="0.3">
      <c r="A547" s="56" t="s">
        <v>1143</v>
      </c>
      <c r="B547" s="33" t="s">
        <v>2001</v>
      </c>
      <c r="C547" s="33" t="s">
        <v>2002</v>
      </c>
      <c r="D547" s="48">
        <v>985</v>
      </c>
      <c r="E547" s="58" t="str">
        <f t="shared" si="8"/>
        <v>A</v>
      </c>
    </row>
    <row r="548" spans="1:5" x14ac:dyDescent="0.3">
      <c r="A548" s="54" t="s">
        <v>1144</v>
      </c>
      <c r="B548" s="33" t="s">
        <v>2003</v>
      </c>
      <c r="C548" s="33" t="s">
        <v>2003</v>
      </c>
      <c r="D548" s="32">
        <v>2415</v>
      </c>
      <c r="E548" s="58" t="str">
        <f t="shared" si="8"/>
        <v>B</v>
      </c>
    </row>
    <row r="549" spans="1:5" x14ac:dyDescent="0.3">
      <c r="A549" s="54" t="s">
        <v>1145</v>
      </c>
      <c r="B549" s="33" t="s">
        <v>2004</v>
      </c>
      <c r="C549" s="33" t="s">
        <v>2004</v>
      </c>
      <c r="D549" s="32">
        <v>2285</v>
      </c>
      <c r="E549" s="58" t="str">
        <f t="shared" si="8"/>
        <v>B</v>
      </c>
    </row>
    <row r="550" spans="1:5" x14ac:dyDescent="0.3">
      <c r="A550" s="57" t="s">
        <v>1146</v>
      </c>
      <c r="B550" s="33" t="s">
        <v>2005</v>
      </c>
      <c r="C550" s="33" t="s">
        <v>2005</v>
      </c>
      <c r="D550" s="48">
        <v>175</v>
      </c>
      <c r="E550" s="58" t="str">
        <f t="shared" si="8"/>
        <v>A</v>
      </c>
    </row>
    <row r="551" spans="1:5" x14ac:dyDescent="0.3">
      <c r="A551" s="57" t="s">
        <v>1147</v>
      </c>
      <c r="B551" s="33" t="s">
        <v>2006</v>
      </c>
      <c r="C551" s="33" t="s">
        <v>2006</v>
      </c>
      <c r="D551" s="48">
        <v>215</v>
      </c>
      <c r="E551" s="58" t="str">
        <f t="shared" si="8"/>
        <v>A</v>
      </c>
    </row>
    <row r="552" spans="1:5" x14ac:dyDescent="0.3">
      <c r="A552" s="57" t="s">
        <v>1148</v>
      </c>
      <c r="B552" s="33" t="s">
        <v>2007</v>
      </c>
      <c r="C552" s="33" t="s">
        <v>2007</v>
      </c>
      <c r="D552" s="48">
        <v>250</v>
      </c>
      <c r="E552" s="58" t="str">
        <f t="shared" si="8"/>
        <v>A</v>
      </c>
    </row>
    <row r="553" spans="1:5" x14ac:dyDescent="0.3">
      <c r="A553" s="57" t="s">
        <v>1149</v>
      </c>
      <c r="B553" s="33" t="s">
        <v>2008</v>
      </c>
      <c r="C553" s="33" t="s">
        <v>2008</v>
      </c>
      <c r="D553" s="48">
        <v>310</v>
      </c>
      <c r="E553" s="58" t="str">
        <f t="shared" si="8"/>
        <v>A</v>
      </c>
    </row>
    <row r="554" spans="1:5" x14ac:dyDescent="0.3">
      <c r="A554" s="57" t="s">
        <v>1150</v>
      </c>
      <c r="B554" s="51" t="s">
        <v>296</v>
      </c>
      <c r="C554" s="51" t="s">
        <v>296</v>
      </c>
      <c r="D554" s="48">
        <v>65</v>
      </c>
      <c r="E554" s="58" t="str">
        <f t="shared" si="8"/>
        <v>A</v>
      </c>
    </row>
    <row r="555" spans="1:5" x14ac:dyDescent="0.3">
      <c r="A555" s="57" t="s">
        <v>1151</v>
      </c>
      <c r="B555" s="33" t="s">
        <v>2009</v>
      </c>
      <c r="C555" s="33" t="s">
        <v>2009</v>
      </c>
      <c r="D555" s="48">
        <v>130</v>
      </c>
      <c r="E555" s="58" t="str">
        <f t="shared" si="8"/>
        <v>A</v>
      </c>
    </row>
    <row r="556" spans="1:5" x14ac:dyDescent="0.3">
      <c r="A556" s="57" t="s">
        <v>1152</v>
      </c>
      <c r="B556" s="33" t="s">
        <v>2010</v>
      </c>
      <c r="C556" s="33" t="s">
        <v>2010</v>
      </c>
      <c r="D556" s="48">
        <v>140</v>
      </c>
      <c r="E556" s="58" t="str">
        <f t="shared" si="8"/>
        <v>A</v>
      </c>
    </row>
    <row r="557" spans="1:5" x14ac:dyDescent="0.3">
      <c r="A557" s="57" t="s">
        <v>1153</v>
      </c>
      <c r="B557" s="33" t="s">
        <v>2011</v>
      </c>
      <c r="C557" s="33" t="s">
        <v>2011</v>
      </c>
      <c r="D557" s="48">
        <v>195</v>
      </c>
      <c r="E557" s="58" t="str">
        <f t="shared" si="8"/>
        <v>A</v>
      </c>
    </row>
    <row r="558" spans="1:5" x14ac:dyDescent="0.3">
      <c r="A558" s="57" t="s">
        <v>1154</v>
      </c>
      <c r="B558" s="33" t="s">
        <v>2012</v>
      </c>
      <c r="C558" s="33" t="s">
        <v>2012</v>
      </c>
      <c r="D558" s="48">
        <v>22</v>
      </c>
      <c r="E558" s="58" t="str">
        <f t="shared" si="8"/>
        <v>A</v>
      </c>
    </row>
    <row r="559" spans="1:5" x14ac:dyDescent="0.3">
      <c r="A559" s="57" t="s">
        <v>1155</v>
      </c>
      <c r="B559" s="33" t="s">
        <v>2013</v>
      </c>
      <c r="C559" s="33" t="s">
        <v>2013</v>
      </c>
      <c r="D559" s="48">
        <v>77</v>
      </c>
      <c r="E559" s="58" t="str">
        <f t="shared" si="8"/>
        <v>A</v>
      </c>
    </row>
    <row r="560" spans="1:5" x14ac:dyDescent="0.3">
      <c r="A560" s="54" t="s">
        <v>1156</v>
      </c>
      <c r="B560" s="33" t="s">
        <v>2014</v>
      </c>
      <c r="C560" s="33" t="s">
        <v>2014</v>
      </c>
      <c r="D560" s="48">
        <v>8795</v>
      </c>
      <c r="E560" s="58" t="str">
        <f t="shared" si="8"/>
        <v>B</v>
      </c>
    </row>
    <row r="561" spans="1:5" x14ac:dyDescent="0.3">
      <c r="A561" s="53" t="s">
        <v>1157</v>
      </c>
      <c r="B561" s="41" t="s">
        <v>297</v>
      </c>
      <c r="C561" s="41" t="s">
        <v>298</v>
      </c>
      <c r="D561" s="48">
        <v>710</v>
      </c>
      <c r="E561" s="58" t="str">
        <f t="shared" si="8"/>
        <v>A</v>
      </c>
    </row>
    <row r="562" spans="1:5" x14ac:dyDescent="0.3">
      <c r="A562" s="53" t="s">
        <v>1158</v>
      </c>
      <c r="B562" s="41" t="s">
        <v>297</v>
      </c>
      <c r="C562" s="41" t="s">
        <v>298</v>
      </c>
      <c r="D562" s="48">
        <v>710</v>
      </c>
      <c r="E562" s="58" t="str">
        <f t="shared" si="8"/>
        <v>A</v>
      </c>
    </row>
    <row r="563" spans="1:5" x14ac:dyDescent="0.3">
      <c r="A563" s="53" t="s">
        <v>1159</v>
      </c>
      <c r="B563" s="41" t="s">
        <v>297</v>
      </c>
      <c r="C563" s="41" t="s">
        <v>298</v>
      </c>
      <c r="D563" s="48">
        <v>710</v>
      </c>
      <c r="E563" s="58" t="str">
        <f t="shared" si="8"/>
        <v>A</v>
      </c>
    </row>
    <row r="564" spans="1:5" x14ac:dyDescent="0.3">
      <c r="A564" s="53" t="s">
        <v>1160</v>
      </c>
      <c r="B564" s="41" t="s">
        <v>297</v>
      </c>
      <c r="C564" s="41" t="s">
        <v>298</v>
      </c>
      <c r="D564" s="48">
        <v>710</v>
      </c>
      <c r="E564" s="58" t="str">
        <f t="shared" si="8"/>
        <v>A</v>
      </c>
    </row>
    <row r="565" spans="1:5" x14ac:dyDescent="0.3">
      <c r="A565" s="53" t="s">
        <v>1161</v>
      </c>
      <c r="B565" s="41" t="s">
        <v>297</v>
      </c>
      <c r="C565" s="41" t="s">
        <v>298</v>
      </c>
      <c r="D565" s="48">
        <v>710</v>
      </c>
      <c r="E565" s="58" t="str">
        <f t="shared" si="8"/>
        <v>A</v>
      </c>
    </row>
    <row r="566" spans="1:5" x14ac:dyDescent="0.3">
      <c r="A566" s="53" t="s">
        <v>1162</v>
      </c>
      <c r="B566" s="41" t="s">
        <v>297</v>
      </c>
      <c r="C566" s="41" t="s">
        <v>298</v>
      </c>
      <c r="D566" s="48">
        <v>710</v>
      </c>
      <c r="E566" s="58" t="str">
        <f t="shared" si="8"/>
        <v>A</v>
      </c>
    </row>
    <row r="567" spans="1:5" x14ac:dyDescent="0.3">
      <c r="A567" s="53" t="s">
        <v>1163</v>
      </c>
      <c r="B567" s="41" t="s">
        <v>2015</v>
      </c>
      <c r="C567" s="41" t="s">
        <v>299</v>
      </c>
      <c r="D567" s="48">
        <v>195</v>
      </c>
      <c r="E567" s="58" t="str">
        <f t="shared" si="8"/>
        <v>A</v>
      </c>
    </row>
    <row r="568" spans="1:5" x14ac:dyDescent="0.3">
      <c r="A568" s="53" t="s">
        <v>1164</v>
      </c>
      <c r="B568" s="41" t="s">
        <v>2016</v>
      </c>
      <c r="C568" s="41" t="s">
        <v>2016</v>
      </c>
      <c r="D568" s="48">
        <v>215</v>
      </c>
      <c r="E568" s="58" t="str">
        <f t="shared" si="8"/>
        <v>A</v>
      </c>
    </row>
    <row r="569" spans="1:5" x14ac:dyDescent="0.3">
      <c r="A569" s="53" t="s">
        <v>1165</v>
      </c>
      <c r="B569" s="41" t="s">
        <v>2017</v>
      </c>
      <c r="C569" s="41" t="s">
        <v>300</v>
      </c>
      <c r="D569" s="48">
        <v>140</v>
      </c>
      <c r="E569" s="58" t="str">
        <f t="shared" si="8"/>
        <v>A</v>
      </c>
    </row>
    <row r="570" spans="1:5" x14ac:dyDescent="0.3">
      <c r="A570" s="53" t="s">
        <v>1166</v>
      </c>
      <c r="B570" s="41" t="s">
        <v>2018</v>
      </c>
      <c r="C570" s="41" t="s">
        <v>301</v>
      </c>
      <c r="D570" s="48">
        <v>765</v>
      </c>
      <c r="E570" s="58" t="str">
        <f t="shared" si="8"/>
        <v>A</v>
      </c>
    </row>
    <row r="571" spans="1:5" x14ac:dyDescent="0.3">
      <c r="A571" s="53" t="s">
        <v>1167</v>
      </c>
      <c r="B571" s="41" t="s">
        <v>2019</v>
      </c>
      <c r="C571" s="41" t="s">
        <v>2019</v>
      </c>
      <c r="D571" s="48">
        <v>35</v>
      </c>
      <c r="E571" s="58" t="str">
        <f t="shared" si="8"/>
        <v>A</v>
      </c>
    </row>
    <row r="572" spans="1:5" x14ac:dyDescent="0.3">
      <c r="A572" s="53" t="s">
        <v>1168</v>
      </c>
      <c r="B572" s="41" t="s">
        <v>302</v>
      </c>
      <c r="C572" s="41" t="s">
        <v>303</v>
      </c>
      <c r="D572" s="48">
        <v>38495</v>
      </c>
      <c r="E572" s="58" t="str">
        <f t="shared" si="8"/>
        <v>D</v>
      </c>
    </row>
    <row r="573" spans="1:5" x14ac:dyDescent="0.3">
      <c r="A573" s="53" t="s">
        <v>1169</v>
      </c>
      <c r="B573" s="41" t="s">
        <v>304</v>
      </c>
      <c r="C573" s="41" t="s">
        <v>304</v>
      </c>
      <c r="D573" s="48">
        <v>28595</v>
      </c>
      <c r="E573" s="58" t="str">
        <f t="shared" si="8"/>
        <v>D</v>
      </c>
    </row>
    <row r="574" spans="1:5" x14ac:dyDescent="0.3">
      <c r="A574" s="53" t="s">
        <v>1170</v>
      </c>
      <c r="B574" s="41" t="s">
        <v>305</v>
      </c>
      <c r="C574" s="41" t="s">
        <v>305</v>
      </c>
      <c r="D574" s="48">
        <v>18695</v>
      </c>
      <c r="E574" s="58" t="str">
        <f t="shared" si="8"/>
        <v>C</v>
      </c>
    </row>
    <row r="575" spans="1:5" x14ac:dyDescent="0.3">
      <c r="A575" s="53" t="s">
        <v>1171</v>
      </c>
      <c r="B575" s="41" t="s">
        <v>2020</v>
      </c>
      <c r="C575" s="41" t="s">
        <v>2020</v>
      </c>
      <c r="D575" s="48">
        <v>40395</v>
      </c>
      <c r="E575" s="58" t="str">
        <f t="shared" si="8"/>
        <v>D</v>
      </c>
    </row>
    <row r="576" spans="1:5" x14ac:dyDescent="0.3">
      <c r="A576" s="53" t="s">
        <v>1172</v>
      </c>
      <c r="B576" s="41" t="s">
        <v>2021</v>
      </c>
      <c r="C576" s="41" t="s">
        <v>2021</v>
      </c>
      <c r="D576" s="48">
        <v>29995</v>
      </c>
      <c r="E576" s="58" t="str">
        <f t="shared" si="8"/>
        <v>D</v>
      </c>
    </row>
    <row r="577" spans="1:5" x14ac:dyDescent="0.3">
      <c r="A577" s="53" t="s">
        <v>1173</v>
      </c>
      <c r="B577" s="41" t="s">
        <v>2022</v>
      </c>
      <c r="C577" s="41" t="s">
        <v>2022</v>
      </c>
      <c r="D577" s="48">
        <v>19595</v>
      </c>
      <c r="E577" s="58" t="str">
        <f t="shared" si="8"/>
        <v>C</v>
      </c>
    </row>
    <row r="578" spans="1:5" x14ac:dyDescent="0.3">
      <c r="A578" s="53" t="s">
        <v>1174</v>
      </c>
      <c r="B578" s="41" t="s">
        <v>2023</v>
      </c>
      <c r="C578" s="41" t="s">
        <v>2023</v>
      </c>
      <c r="D578" s="48">
        <v>7695</v>
      </c>
      <c r="E578" s="58" t="str">
        <f t="shared" si="8"/>
        <v>B</v>
      </c>
    </row>
    <row r="579" spans="1:5" x14ac:dyDescent="0.3">
      <c r="A579" s="53" t="s">
        <v>1175</v>
      </c>
      <c r="B579" s="41" t="s">
        <v>2024</v>
      </c>
      <c r="C579" s="41" t="s">
        <v>2025</v>
      </c>
      <c r="D579" s="48">
        <v>8795</v>
      </c>
      <c r="E579" s="58" t="str">
        <f t="shared" si="8"/>
        <v>B</v>
      </c>
    </row>
    <row r="580" spans="1:5" x14ac:dyDescent="0.3">
      <c r="A580" s="53" t="s">
        <v>1176</v>
      </c>
      <c r="B580" s="41" t="s">
        <v>2026</v>
      </c>
      <c r="C580" s="41" t="s">
        <v>306</v>
      </c>
      <c r="D580" s="48">
        <v>8245</v>
      </c>
      <c r="E580" s="58" t="str">
        <f t="shared" si="8"/>
        <v>B</v>
      </c>
    </row>
    <row r="581" spans="1:5" x14ac:dyDescent="0.3">
      <c r="A581" s="53" t="s">
        <v>1177</v>
      </c>
      <c r="B581" s="41" t="s">
        <v>2027</v>
      </c>
      <c r="C581" s="41" t="s">
        <v>307</v>
      </c>
      <c r="D581" s="48">
        <v>3845</v>
      </c>
      <c r="E581" s="58" t="str">
        <f t="shared" ref="E581:E644" si="9">VLOOKUP(D581,$G$4:$H$7,2)</f>
        <v>B</v>
      </c>
    </row>
    <row r="582" spans="1:5" x14ac:dyDescent="0.3">
      <c r="A582" s="53" t="s">
        <v>1178</v>
      </c>
      <c r="B582" s="41" t="s">
        <v>2028</v>
      </c>
      <c r="C582" s="41" t="s">
        <v>308</v>
      </c>
      <c r="D582" s="48">
        <v>1645</v>
      </c>
      <c r="E582" s="58" t="str">
        <f t="shared" si="9"/>
        <v>B</v>
      </c>
    </row>
    <row r="583" spans="1:5" x14ac:dyDescent="0.3">
      <c r="A583" s="53" t="s">
        <v>1179</v>
      </c>
      <c r="B583" s="41" t="s">
        <v>507</v>
      </c>
      <c r="C583" s="41" t="s">
        <v>507</v>
      </c>
      <c r="D583" s="48">
        <v>1645</v>
      </c>
      <c r="E583" s="58" t="str">
        <f t="shared" si="9"/>
        <v>B</v>
      </c>
    </row>
    <row r="584" spans="1:5" x14ac:dyDescent="0.3">
      <c r="A584" s="53" t="s">
        <v>1180</v>
      </c>
      <c r="B584" s="41" t="s">
        <v>309</v>
      </c>
      <c r="C584" s="41" t="s">
        <v>309</v>
      </c>
      <c r="D584" s="48">
        <v>2195</v>
      </c>
      <c r="E584" s="58" t="str">
        <f t="shared" si="9"/>
        <v>B</v>
      </c>
    </row>
    <row r="585" spans="1:5" x14ac:dyDescent="0.3">
      <c r="A585" s="53" t="s">
        <v>1181</v>
      </c>
      <c r="B585" s="41" t="s">
        <v>310</v>
      </c>
      <c r="C585" s="41" t="s">
        <v>310</v>
      </c>
      <c r="D585" s="48">
        <v>2195</v>
      </c>
      <c r="E585" s="58" t="str">
        <f t="shared" si="9"/>
        <v>B</v>
      </c>
    </row>
    <row r="586" spans="1:5" x14ac:dyDescent="0.3">
      <c r="A586" s="53" t="s">
        <v>1182</v>
      </c>
      <c r="B586" s="41" t="s">
        <v>2029</v>
      </c>
      <c r="C586" s="41" t="s">
        <v>311</v>
      </c>
      <c r="D586" s="48">
        <v>3295</v>
      </c>
      <c r="E586" s="58" t="str">
        <f t="shared" si="9"/>
        <v>B</v>
      </c>
    </row>
    <row r="587" spans="1:5" x14ac:dyDescent="0.3">
      <c r="A587" s="53" t="s">
        <v>1183</v>
      </c>
      <c r="B587" s="41" t="s">
        <v>2030</v>
      </c>
      <c r="C587" s="41" t="s">
        <v>312</v>
      </c>
      <c r="D587" s="48">
        <v>3295</v>
      </c>
      <c r="E587" s="58" t="str">
        <f t="shared" si="9"/>
        <v>B</v>
      </c>
    </row>
    <row r="588" spans="1:5" x14ac:dyDescent="0.3">
      <c r="A588" s="53" t="s">
        <v>1184</v>
      </c>
      <c r="B588" s="41" t="s">
        <v>2031</v>
      </c>
      <c r="C588" s="41" t="s">
        <v>2031</v>
      </c>
      <c r="D588" s="48">
        <v>17595</v>
      </c>
      <c r="E588" s="58" t="str">
        <f t="shared" si="9"/>
        <v>C</v>
      </c>
    </row>
    <row r="589" spans="1:5" x14ac:dyDescent="0.3">
      <c r="A589" s="53" t="s">
        <v>1185</v>
      </c>
      <c r="B589" s="41" t="s">
        <v>2032</v>
      </c>
      <c r="C589" s="41" t="s">
        <v>2032</v>
      </c>
      <c r="D589" s="48">
        <v>10445</v>
      </c>
      <c r="E589" s="58" t="str">
        <f t="shared" si="9"/>
        <v>C</v>
      </c>
    </row>
    <row r="590" spans="1:5" x14ac:dyDescent="0.3">
      <c r="A590" s="53" t="s">
        <v>1186</v>
      </c>
      <c r="B590" s="41" t="s">
        <v>2033</v>
      </c>
      <c r="C590" s="41" t="s">
        <v>2033</v>
      </c>
      <c r="D590" s="48">
        <v>9895</v>
      </c>
      <c r="E590" s="58" t="str">
        <f t="shared" si="9"/>
        <v>B</v>
      </c>
    </row>
    <row r="591" spans="1:5" x14ac:dyDescent="0.3">
      <c r="A591" s="53" t="s">
        <v>1187</v>
      </c>
      <c r="B591" s="41" t="s">
        <v>2034</v>
      </c>
      <c r="C591" s="41" t="s">
        <v>2034</v>
      </c>
      <c r="D591" s="48">
        <v>8795</v>
      </c>
      <c r="E591" s="58" t="str">
        <f t="shared" si="9"/>
        <v>B</v>
      </c>
    </row>
    <row r="592" spans="1:5" x14ac:dyDescent="0.3">
      <c r="A592" s="53" t="s">
        <v>1188</v>
      </c>
      <c r="B592" s="41" t="s">
        <v>2302</v>
      </c>
      <c r="C592" s="41" t="s">
        <v>2302</v>
      </c>
      <c r="D592" s="48">
        <v>17595</v>
      </c>
      <c r="E592" s="58" t="str">
        <f t="shared" si="9"/>
        <v>C</v>
      </c>
    </row>
    <row r="593" spans="1:5" x14ac:dyDescent="0.3">
      <c r="A593" s="53" t="s">
        <v>1189</v>
      </c>
      <c r="B593" s="41" t="s">
        <v>2035</v>
      </c>
      <c r="C593" s="41" t="s">
        <v>2035</v>
      </c>
      <c r="D593" s="48">
        <v>10995</v>
      </c>
      <c r="E593" s="58" t="str">
        <f t="shared" si="9"/>
        <v>C</v>
      </c>
    </row>
    <row r="594" spans="1:5" x14ac:dyDescent="0.3">
      <c r="A594" s="53" t="s">
        <v>1190</v>
      </c>
      <c r="B594" s="41" t="s">
        <v>529</v>
      </c>
      <c r="C594" s="41" t="s">
        <v>530</v>
      </c>
      <c r="D594" s="48">
        <v>1370</v>
      </c>
      <c r="E594" s="58" t="str">
        <f t="shared" si="9"/>
        <v>B</v>
      </c>
    </row>
    <row r="595" spans="1:5" x14ac:dyDescent="0.3">
      <c r="A595" s="53" t="s">
        <v>1191</v>
      </c>
      <c r="B595" s="41" t="s">
        <v>531</v>
      </c>
      <c r="C595" s="41" t="s">
        <v>532</v>
      </c>
      <c r="D595" s="48">
        <v>2745</v>
      </c>
      <c r="E595" s="58" t="str">
        <f t="shared" si="9"/>
        <v>B</v>
      </c>
    </row>
    <row r="596" spans="1:5" x14ac:dyDescent="0.3">
      <c r="A596" s="53" t="s">
        <v>1192</v>
      </c>
      <c r="B596" s="41" t="s">
        <v>533</v>
      </c>
      <c r="C596" s="41" t="s">
        <v>534</v>
      </c>
      <c r="D596" s="48">
        <v>10995</v>
      </c>
      <c r="E596" s="58" t="str">
        <f t="shared" si="9"/>
        <v>C</v>
      </c>
    </row>
    <row r="597" spans="1:5" x14ac:dyDescent="0.3">
      <c r="A597" s="53" t="s">
        <v>1193</v>
      </c>
      <c r="B597" s="41" t="s">
        <v>369</v>
      </c>
      <c r="C597" s="41" t="s">
        <v>370</v>
      </c>
      <c r="D597" s="48">
        <v>17595</v>
      </c>
      <c r="E597" s="58" t="str">
        <f t="shared" si="9"/>
        <v>C</v>
      </c>
    </row>
    <row r="598" spans="1:5" x14ac:dyDescent="0.3">
      <c r="A598" s="54" t="s">
        <v>1194</v>
      </c>
      <c r="B598" s="33" t="s">
        <v>471</v>
      </c>
      <c r="C598" s="33" t="s">
        <v>368</v>
      </c>
      <c r="D598" s="48">
        <v>1095</v>
      </c>
      <c r="E598" s="58" t="str">
        <f t="shared" si="9"/>
        <v>B</v>
      </c>
    </row>
    <row r="599" spans="1:5" x14ac:dyDescent="0.3">
      <c r="A599" s="56" t="s">
        <v>1195</v>
      </c>
      <c r="B599" s="50" t="s">
        <v>371</v>
      </c>
      <c r="C599" s="52" t="s">
        <v>372</v>
      </c>
      <c r="D599" s="48">
        <v>21995</v>
      </c>
      <c r="E599" s="58" t="str">
        <f t="shared" si="9"/>
        <v>C</v>
      </c>
    </row>
    <row r="600" spans="1:5" x14ac:dyDescent="0.3">
      <c r="A600" s="56" t="s">
        <v>1196</v>
      </c>
      <c r="B600" s="50" t="s">
        <v>373</v>
      </c>
      <c r="C600" s="33" t="s">
        <v>374</v>
      </c>
      <c r="D600" s="48">
        <v>21995</v>
      </c>
      <c r="E600" s="58" t="str">
        <f t="shared" si="9"/>
        <v>C</v>
      </c>
    </row>
    <row r="601" spans="1:5" x14ac:dyDescent="0.3">
      <c r="A601" s="56" t="s">
        <v>1197</v>
      </c>
      <c r="B601" s="50" t="s">
        <v>375</v>
      </c>
      <c r="C601" s="33" t="s">
        <v>376</v>
      </c>
      <c r="D601" s="48">
        <v>21995</v>
      </c>
      <c r="E601" s="58" t="str">
        <f t="shared" si="9"/>
        <v>C</v>
      </c>
    </row>
    <row r="602" spans="1:5" x14ac:dyDescent="0.3">
      <c r="A602" s="56" t="s">
        <v>1198</v>
      </c>
      <c r="B602" s="50" t="s">
        <v>377</v>
      </c>
      <c r="C602" s="33" t="s">
        <v>378</v>
      </c>
      <c r="D602" s="48">
        <v>21995</v>
      </c>
      <c r="E602" s="58" t="str">
        <f t="shared" si="9"/>
        <v>C</v>
      </c>
    </row>
    <row r="603" spans="1:5" x14ac:dyDescent="0.3">
      <c r="A603" s="56" t="s">
        <v>1199</v>
      </c>
      <c r="B603" s="50" t="s">
        <v>379</v>
      </c>
      <c r="C603" s="33" t="s">
        <v>380</v>
      </c>
      <c r="D603" s="48">
        <v>21995</v>
      </c>
      <c r="E603" s="58" t="str">
        <f t="shared" si="9"/>
        <v>C</v>
      </c>
    </row>
    <row r="604" spans="1:5" x14ac:dyDescent="0.3">
      <c r="A604" s="56" t="s">
        <v>1200</v>
      </c>
      <c r="B604" s="50" t="s">
        <v>381</v>
      </c>
      <c r="C604" s="33" t="s">
        <v>382</v>
      </c>
      <c r="D604" s="48">
        <v>21995</v>
      </c>
      <c r="E604" s="58" t="str">
        <f t="shared" si="9"/>
        <v>C</v>
      </c>
    </row>
    <row r="605" spans="1:5" x14ac:dyDescent="0.3">
      <c r="A605" s="56" t="s">
        <v>1201</v>
      </c>
      <c r="B605" s="50" t="s">
        <v>383</v>
      </c>
      <c r="C605" s="33" t="s">
        <v>384</v>
      </c>
      <c r="D605" s="48">
        <v>21995</v>
      </c>
      <c r="E605" s="58" t="str">
        <f t="shared" si="9"/>
        <v>C</v>
      </c>
    </row>
    <row r="606" spans="1:5" x14ac:dyDescent="0.3">
      <c r="A606" s="56" t="s">
        <v>1202</v>
      </c>
      <c r="B606" s="50" t="s">
        <v>385</v>
      </c>
      <c r="C606" s="33" t="s">
        <v>386</v>
      </c>
      <c r="D606" s="48">
        <v>21995</v>
      </c>
      <c r="E606" s="58" t="str">
        <f t="shared" si="9"/>
        <v>C</v>
      </c>
    </row>
    <row r="607" spans="1:5" x14ac:dyDescent="0.3">
      <c r="A607" s="56" t="s">
        <v>1203</v>
      </c>
      <c r="B607" s="50" t="s">
        <v>387</v>
      </c>
      <c r="C607" s="33" t="s">
        <v>388</v>
      </c>
      <c r="D607" s="48">
        <v>21995</v>
      </c>
      <c r="E607" s="58" t="str">
        <f t="shared" si="9"/>
        <v>C</v>
      </c>
    </row>
    <row r="608" spans="1:5" x14ac:dyDescent="0.3">
      <c r="A608" s="56" t="s">
        <v>1204</v>
      </c>
      <c r="B608" s="50" t="s">
        <v>389</v>
      </c>
      <c r="C608" s="33" t="s">
        <v>390</v>
      </c>
      <c r="D608" s="48">
        <v>21995</v>
      </c>
      <c r="E608" s="58" t="str">
        <f t="shared" si="9"/>
        <v>C</v>
      </c>
    </row>
    <row r="609" spans="1:5" x14ac:dyDescent="0.3">
      <c r="A609" s="56" t="s">
        <v>1205</v>
      </c>
      <c r="B609" s="50" t="s">
        <v>391</v>
      </c>
      <c r="C609" s="33" t="s">
        <v>392</v>
      </c>
      <c r="D609" s="48">
        <v>21995</v>
      </c>
      <c r="E609" s="58" t="str">
        <f t="shared" si="9"/>
        <v>C</v>
      </c>
    </row>
    <row r="610" spans="1:5" x14ac:dyDescent="0.3">
      <c r="A610" s="56" t="s">
        <v>1206</v>
      </c>
      <c r="B610" s="50" t="s">
        <v>393</v>
      </c>
      <c r="C610" s="33" t="s">
        <v>394</v>
      </c>
      <c r="D610" s="48">
        <v>21995</v>
      </c>
      <c r="E610" s="58" t="str">
        <f t="shared" si="9"/>
        <v>C</v>
      </c>
    </row>
    <row r="611" spans="1:5" x14ac:dyDescent="0.3">
      <c r="A611" s="56" t="s">
        <v>1207</v>
      </c>
      <c r="B611" s="50" t="s">
        <v>395</v>
      </c>
      <c r="C611" s="33" t="s">
        <v>396</v>
      </c>
      <c r="D611" s="48">
        <v>21995</v>
      </c>
      <c r="E611" s="58" t="str">
        <f t="shared" si="9"/>
        <v>C</v>
      </c>
    </row>
    <row r="612" spans="1:5" x14ac:dyDescent="0.3">
      <c r="A612" s="56" t="s">
        <v>1208</v>
      </c>
      <c r="B612" s="50" t="s">
        <v>397</v>
      </c>
      <c r="C612" s="33" t="s">
        <v>398</v>
      </c>
      <c r="D612" s="48">
        <v>21995</v>
      </c>
      <c r="E612" s="58" t="str">
        <f t="shared" si="9"/>
        <v>C</v>
      </c>
    </row>
    <row r="613" spans="1:5" x14ac:dyDescent="0.3">
      <c r="A613" s="56" t="s">
        <v>1209</v>
      </c>
      <c r="B613" s="50" t="s">
        <v>399</v>
      </c>
      <c r="C613" s="33" t="s">
        <v>400</v>
      </c>
      <c r="D613" s="48">
        <v>21995</v>
      </c>
      <c r="E613" s="58" t="str">
        <f t="shared" si="9"/>
        <v>C</v>
      </c>
    </row>
    <row r="614" spans="1:5" x14ac:dyDescent="0.3">
      <c r="A614" s="56" t="s">
        <v>1210</v>
      </c>
      <c r="B614" s="50" t="s">
        <v>401</v>
      </c>
      <c r="C614" s="33" t="s">
        <v>402</v>
      </c>
      <c r="D614" s="48">
        <v>21995</v>
      </c>
      <c r="E614" s="58" t="str">
        <f t="shared" si="9"/>
        <v>C</v>
      </c>
    </row>
    <row r="615" spans="1:5" x14ac:dyDescent="0.3">
      <c r="A615" s="56" t="s">
        <v>1211</v>
      </c>
      <c r="B615" s="50" t="s">
        <v>403</v>
      </c>
      <c r="C615" s="33" t="s">
        <v>404</v>
      </c>
      <c r="D615" s="48">
        <v>21995</v>
      </c>
      <c r="E615" s="58" t="str">
        <f t="shared" si="9"/>
        <v>C</v>
      </c>
    </row>
    <row r="616" spans="1:5" x14ac:dyDescent="0.3">
      <c r="A616" s="56" t="s">
        <v>1212</v>
      </c>
      <c r="B616" s="50" t="s">
        <v>405</v>
      </c>
      <c r="C616" s="33" t="s">
        <v>406</v>
      </c>
      <c r="D616" s="48">
        <v>21995</v>
      </c>
      <c r="E616" s="58" t="str">
        <f t="shared" si="9"/>
        <v>C</v>
      </c>
    </row>
    <row r="617" spans="1:5" x14ac:dyDescent="0.3">
      <c r="A617" s="56" t="s">
        <v>1213</v>
      </c>
      <c r="B617" s="50" t="s">
        <v>407</v>
      </c>
      <c r="C617" s="33" t="s">
        <v>408</v>
      </c>
      <c r="D617" s="48">
        <v>21995</v>
      </c>
      <c r="E617" s="58" t="str">
        <f t="shared" si="9"/>
        <v>C</v>
      </c>
    </row>
    <row r="618" spans="1:5" x14ac:dyDescent="0.3">
      <c r="A618" s="56" t="s">
        <v>1214</v>
      </c>
      <c r="B618" s="50" t="s">
        <v>409</v>
      </c>
      <c r="C618" s="33" t="s">
        <v>410</v>
      </c>
      <c r="D618" s="48">
        <v>21995</v>
      </c>
      <c r="E618" s="58" t="str">
        <f t="shared" si="9"/>
        <v>C</v>
      </c>
    </row>
    <row r="619" spans="1:5" x14ac:dyDescent="0.3">
      <c r="A619" s="56" t="s">
        <v>1215</v>
      </c>
      <c r="B619" s="50" t="s">
        <v>411</v>
      </c>
      <c r="C619" s="33" t="s">
        <v>412</v>
      </c>
      <c r="D619" s="48">
        <v>21995</v>
      </c>
      <c r="E619" s="58" t="str">
        <f t="shared" si="9"/>
        <v>C</v>
      </c>
    </row>
    <row r="620" spans="1:5" x14ac:dyDescent="0.3">
      <c r="A620" s="56" t="s">
        <v>1216</v>
      </c>
      <c r="B620" s="50" t="s">
        <v>413</v>
      </c>
      <c r="C620" s="33" t="s">
        <v>414</v>
      </c>
      <c r="D620" s="48">
        <v>21995</v>
      </c>
      <c r="E620" s="58" t="str">
        <f t="shared" si="9"/>
        <v>C</v>
      </c>
    </row>
    <row r="621" spans="1:5" x14ac:dyDescent="0.3">
      <c r="A621" s="56" t="s">
        <v>1217</v>
      </c>
      <c r="B621" s="50" t="s">
        <v>415</v>
      </c>
      <c r="C621" s="33" t="s">
        <v>416</v>
      </c>
      <c r="D621" s="48">
        <v>21995</v>
      </c>
      <c r="E621" s="58" t="str">
        <f t="shared" si="9"/>
        <v>C</v>
      </c>
    </row>
    <row r="622" spans="1:5" x14ac:dyDescent="0.3">
      <c r="A622" s="56" t="s">
        <v>1218</v>
      </c>
      <c r="B622" s="50" t="s">
        <v>417</v>
      </c>
      <c r="C622" s="33" t="s">
        <v>418</v>
      </c>
      <c r="D622" s="48">
        <v>21995</v>
      </c>
      <c r="E622" s="58" t="str">
        <f t="shared" si="9"/>
        <v>C</v>
      </c>
    </row>
    <row r="623" spans="1:5" x14ac:dyDescent="0.3">
      <c r="A623" s="56" t="s">
        <v>1219</v>
      </c>
      <c r="B623" s="50" t="s">
        <v>419</v>
      </c>
      <c r="C623" s="33" t="s">
        <v>420</v>
      </c>
      <c r="D623" s="48">
        <v>21995</v>
      </c>
      <c r="E623" s="58" t="str">
        <f t="shared" si="9"/>
        <v>C</v>
      </c>
    </row>
    <row r="624" spans="1:5" x14ac:dyDescent="0.3">
      <c r="A624" s="56" t="s">
        <v>1220</v>
      </c>
      <c r="B624" s="50" t="s">
        <v>421</v>
      </c>
      <c r="C624" s="33" t="s">
        <v>422</v>
      </c>
      <c r="D624" s="48">
        <v>21995</v>
      </c>
      <c r="E624" s="58" t="str">
        <f t="shared" si="9"/>
        <v>C</v>
      </c>
    </row>
    <row r="625" spans="1:5" x14ac:dyDescent="0.3">
      <c r="A625" s="56" t="s">
        <v>1221</v>
      </c>
      <c r="B625" s="50" t="s">
        <v>423</v>
      </c>
      <c r="C625" s="33" t="s">
        <v>424</v>
      </c>
      <c r="D625" s="48">
        <v>21995</v>
      </c>
      <c r="E625" s="58" t="str">
        <f t="shared" si="9"/>
        <v>C</v>
      </c>
    </row>
    <row r="626" spans="1:5" x14ac:dyDescent="0.3">
      <c r="A626" s="56" t="s">
        <v>1222</v>
      </c>
      <c r="B626" s="50" t="s">
        <v>425</v>
      </c>
      <c r="C626" s="33" t="s">
        <v>426</v>
      </c>
      <c r="D626" s="48">
        <v>21995</v>
      </c>
      <c r="E626" s="58" t="str">
        <f t="shared" si="9"/>
        <v>C</v>
      </c>
    </row>
    <row r="627" spans="1:5" x14ac:dyDescent="0.3">
      <c r="A627" s="56" t="s">
        <v>1223</v>
      </c>
      <c r="B627" s="50" t="s">
        <v>427</v>
      </c>
      <c r="C627" s="33" t="s">
        <v>428</v>
      </c>
      <c r="D627" s="48">
        <v>21995</v>
      </c>
      <c r="E627" s="58" t="str">
        <f t="shared" si="9"/>
        <v>C</v>
      </c>
    </row>
    <row r="628" spans="1:5" x14ac:dyDescent="0.3">
      <c r="A628" s="56" t="s">
        <v>1224</v>
      </c>
      <c r="B628" s="50" t="s">
        <v>429</v>
      </c>
      <c r="C628" s="33" t="s">
        <v>430</v>
      </c>
      <c r="D628" s="48">
        <v>21995</v>
      </c>
      <c r="E628" s="58" t="str">
        <f t="shared" si="9"/>
        <v>C</v>
      </c>
    </row>
    <row r="629" spans="1:5" x14ac:dyDescent="0.3">
      <c r="A629" s="56" t="s">
        <v>1225</v>
      </c>
      <c r="B629" s="50" t="s">
        <v>431</v>
      </c>
      <c r="C629" s="33" t="s">
        <v>432</v>
      </c>
      <c r="D629" s="48">
        <v>21995</v>
      </c>
      <c r="E629" s="58" t="str">
        <f t="shared" si="9"/>
        <v>C</v>
      </c>
    </row>
    <row r="630" spans="1:5" x14ac:dyDescent="0.3">
      <c r="A630" s="56" t="s">
        <v>1226</v>
      </c>
      <c r="B630" s="50" t="s">
        <v>433</v>
      </c>
      <c r="C630" s="33" t="s">
        <v>434</v>
      </c>
      <c r="D630" s="48">
        <v>21995</v>
      </c>
      <c r="E630" s="58" t="str">
        <f t="shared" si="9"/>
        <v>C</v>
      </c>
    </row>
    <row r="631" spans="1:5" x14ac:dyDescent="0.3">
      <c r="A631" s="56" t="s">
        <v>1227</v>
      </c>
      <c r="B631" s="50" t="s">
        <v>435</v>
      </c>
      <c r="C631" s="33" t="s">
        <v>436</v>
      </c>
      <c r="D631" s="48">
        <v>21995</v>
      </c>
      <c r="E631" s="58" t="str">
        <f t="shared" si="9"/>
        <v>C</v>
      </c>
    </row>
    <row r="632" spans="1:5" x14ac:dyDescent="0.3">
      <c r="A632" s="56" t="s">
        <v>1228</v>
      </c>
      <c r="B632" s="50" t="s">
        <v>437</v>
      </c>
      <c r="C632" s="33" t="s">
        <v>438</v>
      </c>
      <c r="D632" s="48">
        <v>21995</v>
      </c>
      <c r="E632" s="58" t="str">
        <f t="shared" si="9"/>
        <v>C</v>
      </c>
    </row>
    <row r="633" spans="1:5" x14ac:dyDescent="0.3">
      <c r="A633" s="56" t="s">
        <v>1229</v>
      </c>
      <c r="B633" s="50" t="s">
        <v>439</v>
      </c>
      <c r="C633" s="33" t="s">
        <v>440</v>
      </c>
      <c r="D633" s="48">
        <v>21995</v>
      </c>
      <c r="E633" s="58" t="str">
        <f t="shared" si="9"/>
        <v>C</v>
      </c>
    </row>
    <row r="634" spans="1:5" x14ac:dyDescent="0.3">
      <c r="A634" s="56" t="s">
        <v>1230</v>
      </c>
      <c r="B634" s="50" t="s">
        <v>441</v>
      </c>
      <c r="C634" s="33" t="s">
        <v>442</v>
      </c>
      <c r="D634" s="48">
        <v>21995</v>
      </c>
      <c r="E634" s="58" t="str">
        <f t="shared" si="9"/>
        <v>C</v>
      </c>
    </row>
    <row r="635" spans="1:5" x14ac:dyDescent="0.3">
      <c r="A635" s="56" t="s">
        <v>1231</v>
      </c>
      <c r="B635" s="50" t="s">
        <v>443</v>
      </c>
      <c r="C635" s="33" t="s">
        <v>444</v>
      </c>
      <c r="D635" s="48">
        <v>21995</v>
      </c>
      <c r="E635" s="58" t="str">
        <f t="shared" si="9"/>
        <v>C</v>
      </c>
    </row>
    <row r="636" spans="1:5" x14ac:dyDescent="0.3">
      <c r="A636" s="56" t="s">
        <v>1232</v>
      </c>
      <c r="B636" s="50" t="s">
        <v>445</v>
      </c>
      <c r="C636" s="33" t="s">
        <v>446</v>
      </c>
      <c r="D636" s="48">
        <v>21995</v>
      </c>
      <c r="E636" s="58" t="str">
        <f t="shared" si="9"/>
        <v>C</v>
      </c>
    </row>
    <row r="637" spans="1:5" x14ac:dyDescent="0.3">
      <c r="A637" s="56" t="s">
        <v>1233</v>
      </c>
      <c r="B637" s="50" t="s">
        <v>447</v>
      </c>
      <c r="C637" s="33" t="s">
        <v>448</v>
      </c>
      <c r="D637" s="48">
        <v>21995</v>
      </c>
      <c r="E637" s="58" t="str">
        <f t="shared" si="9"/>
        <v>C</v>
      </c>
    </row>
    <row r="638" spans="1:5" x14ac:dyDescent="0.3">
      <c r="A638" s="56" t="s">
        <v>1234</v>
      </c>
      <c r="B638" s="50" t="s">
        <v>449</v>
      </c>
      <c r="C638" s="33" t="s">
        <v>450</v>
      </c>
      <c r="D638" s="48">
        <v>21995</v>
      </c>
      <c r="E638" s="58" t="str">
        <f t="shared" si="9"/>
        <v>C</v>
      </c>
    </row>
    <row r="639" spans="1:5" x14ac:dyDescent="0.3">
      <c r="A639" s="53" t="s">
        <v>1235</v>
      </c>
      <c r="B639" s="41" t="s">
        <v>359</v>
      </c>
      <c r="C639" s="41" t="s">
        <v>360</v>
      </c>
      <c r="D639" s="48">
        <v>325</v>
      </c>
      <c r="E639" s="58" t="str">
        <f t="shared" si="9"/>
        <v>A</v>
      </c>
    </row>
    <row r="640" spans="1:5" x14ac:dyDescent="0.3">
      <c r="A640" s="53" t="s">
        <v>1236</v>
      </c>
      <c r="B640" s="41" t="s">
        <v>590</v>
      </c>
      <c r="C640" s="41" t="s">
        <v>591</v>
      </c>
      <c r="D640" s="48">
        <v>490</v>
      </c>
      <c r="E640" s="58" t="str">
        <f t="shared" si="9"/>
        <v>A</v>
      </c>
    </row>
    <row r="641" spans="1:5" x14ac:dyDescent="0.3">
      <c r="A641" s="53" t="s">
        <v>1237</v>
      </c>
      <c r="B641" s="41" t="s">
        <v>592</v>
      </c>
      <c r="C641" s="41" t="s">
        <v>593</v>
      </c>
      <c r="D641" s="48">
        <v>490</v>
      </c>
      <c r="E641" s="58" t="str">
        <f t="shared" si="9"/>
        <v>A</v>
      </c>
    </row>
    <row r="642" spans="1:5" x14ac:dyDescent="0.3">
      <c r="A642" s="53" t="s">
        <v>1238</v>
      </c>
      <c r="B642" s="41" t="s">
        <v>173</v>
      </c>
      <c r="C642" s="41" t="s">
        <v>595</v>
      </c>
      <c r="D642" s="48">
        <v>1095</v>
      </c>
      <c r="E642" s="58" t="str">
        <f t="shared" si="9"/>
        <v>B</v>
      </c>
    </row>
    <row r="643" spans="1:5" x14ac:dyDescent="0.3">
      <c r="A643" s="53" t="s">
        <v>1239</v>
      </c>
      <c r="B643" s="41" t="s">
        <v>518</v>
      </c>
      <c r="C643" s="41" t="s">
        <v>595</v>
      </c>
      <c r="D643" s="48">
        <v>4395</v>
      </c>
      <c r="E643" s="58" t="str">
        <f t="shared" si="9"/>
        <v>B</v>
      </c>
    </row>
    <row r="644" spans="1:5" x14ac:dyDescent="0.3">
      <c r="A644" s="53" t="s">
        <v>1240</v>
      </c>
      <c r="B644" s="41" t="s">
        <v>588</v>
      </c>
      <c r="C644" s="41" t="s">
        <v>589</v>
      </c>
      <c r="D644" s="48">
        <v>5495</v>
      </c>
      <c r="E644" s="58" t="str">
        <f t="shared" si="9"/>
        <v>B</v>
      </c>
    </row>
    <row r="645" spans="1:5" x14ac:dyDescent="0.3">
      <c r="A645" s="53" t="s">
        <v>1241</v>
      </c>
      <c r="B645" s="41" t="s">
        <v>1851</v>
      </c>
      <c r="C645" s="41" t="s">
        <v>550</v>
      </c>
      <c r="D645" s="48">
        <v>5495</v>
      </c>
      <c r="E645" s="58" t="str">
        <f t="shared" ref="E645:E708" si="10">VLOOKUP(D645,$G$4:$H$7,2)</f>
        <v>B</v>
      </c>
    </row>
    <row r="646" spans="1:5" x14ac:dyDescent="0.3">
      <c r="A646" s="53" t="s">
        <v>1242</v>
      </c>
      <c r="B646" s="41" t="s">
        <v>1852</v>
      </c>
      <c r="C646" s="41" t="s">
        <v>551</v>
      </c>
      <c r="D646" s="48">
        <v>5495</v>
      </c>
      <c r="E646" s="58" t="str">
        <f t="shared" si="10"/>
        <v>B</v>
      </c>
    </row>
    <row r="647" spans="1:5" x14ac:dyDescent="0.3">
      <c r="A647" s="53" t="s">
        <v>1243</v>
      </c>
      <c r="B647" s="41" t="s">
        <v>1853</v>
      </c>
      <c r="C647" s="41" t="s">
        <v>552</v>
      </c>
      <c r="D647" s="48">
        <v>5495</v>
      </c>
      <c r="E647" s="58" t="str">
        <f t="shared" si="10"/>
        <v>B</v>
      </c>
    </row>
    <row r="648" spans="1:5" x14ac:dyDescent="0.3">
      <c r="A648" s="53" t="s">
        <v>1244</v>
      </c>
      <c r="B648" s="41" t="s">
        <v>1854</v>
      </c>
      <c r="C648" s="41" t="s">
        <v>553</v>
      </c>
      <c r="D648" s="48">
        <v>5495</v>
      </c>
      <c r="E648" s="58" t="str">
        <f t="shared" si="10"/>
        <v>B</v>
      </c>
    </row>
    <row r="649" spans="1:5" x14ac:dyDescent="0.3">
      <c r="A649" s="53" t="s">
        <v>1245</v>
      </c>
      <c r="B649" s="41" t="s">
        <v>1855</v>
      </c>
      <c r="C649" s="41" t="s">
        <v>554</v>
      </c>
      <c r="D649" s="48">
        <v>5495</v>
      </c>
      <c r="E649" s="58" t="str">
        <f t="shared" si="10"/>
        <v>B</v>
      </c>
    </row>
    <row r="650" spans="1:5" x14ac:dyDescent="0.3">
      <c r="A650" s="53" t="s">
        <v>1246</v>
      </c>
      <c r="B650" s="41" t="s">
        <v>1856</v>
      </c>
      <c r="C650" s="41" t="s">
        <v>555</v>
      </c>
      <c r="D650" s="48">
        <v>5495</v>
      </c>
      <c r="E650" s="58" t="str">
        <f t="shared" si="10"/>
        <v>B</v>
      </c>
    </row>
    <row r="651" spans="1:5" x14ac:dyDescent="0.3">
      <c r="A651" s="53" t="s">
        <v>1247</v>
      </c>
      <c r="B651" s="41" t="s">
        <v>1857</v>
      </c>
      <c r="C651" s="41" t="s">
        <v>556</v>
      </c>
      <c r="D651" s="48">
        <v>5495</v>
      </c>
      <c r="E651" s="58" t="str">
        <f t="shared" si="10"/>
        <v>B</v>
      </c>
    </row>
    <row r="652" spans="1:5" x14ac:dyDescent="0.3">
      <c r="A652" s="53" t="s">
        <v>1248</v>
      </c>
      <c r="B652" s="41" t="s">
        <v>1858</v>
      </c>
      <c r="C652" s="41" t="s">
        <v>557</v>
      </c>
      <c r="D652" s="48">
        <v>5495</v>
      </c>
      <c r="E652" s="58" t="str">
        <f t="shared" si="10"/>
        <v>B</v>
      </c>
    </row>
    <row r="653" spans="1:5" x14ac:dyDescent="0.3">
      <c r="A653" s="53" t="s">
        <v>1249</v>
      </c>
      <c r="B653" s="41" t="s">
        <v>363</v>
      </c>
      <c r="C653" s="41" t="s">
        <v>364</v>
      </c>
      <c r="D653" s="48">
        <v>1315</v>
      </c>
      <c r="E653" s="58" t="str">
        <f t="shared" si="10"/>
        <v>B</v>
      </c>
    </row>
    <row r="654" spans="1:5" x14ac:dyDescent="0.3">
      <c r="A654" s="53" t="s">
        <v>1250</v>
      </c>
      <c r="B654" s="41" t="s">
        <v>365</v>
      </c>
      <c r="C654" s="41" t="s">
        <v>366</v>
      </c>
      <c r="D654" s="48">
        <v>1315</v>
      </c>
      <c r="E654" s="58" t="str">
        <f t="shared" si="10"/>
        <v>B</v>
      </c>
    </row>
    <row r="655" spans="1:5" x14ac:dyDescent="0.3">
      <c r="A655" s="53" t="s">
        <v>1251</v>
      </c>
      <c r="B655" s="41" t="s">
        <v>361</v>
      </c>
      <c r="C655" s="41" t="s">
        <v>362</v>
      </c>
      <c r="D655" s="48">
        <v>655</v>
      </c>
      <c r="E655" s="58" t="str">
        <f t="shared" si="10"/>
        <v>A</v>
      </c>
    </row>
    <row r="656" spans="1:5" x14ac:dyDescent="0.3">
      <c r="A656" s="53" t="s">
        <v>1252</v>
      </c>
      <c r="B656" s="41" t="s">
        <v>355</v>
      </c>
      <c r="C656" s="41" t="s">
        <v>356</v>
      </c>
      <c r="D656" s="48">
        <v>435</v>
      </c>
      <c r="E656" s="58" t="str">
        <f t="shared" si="10"/>
        <v>A</v>
      </c>
    </row>
    <row r="657" spans="1:5" x14ac:dyDescent="0.3">
      <c r="A657" s="53" t="s">
        <v>1253</v>
      </c>
      <c r="B657" s="41" t="s">
        <v>357</v>
      </c>
      <c r="C657" s="41" t="s">
        <v>358</v>
      </c>
      <c r="D657" s="48">
        <v>435</v>
      </c>
      <c r="E657" s="58" t="str">
        <f t="shared" si="10"/>
        <v>A</v>
      </c>
    </row>
    <row r="658" spans="1:5" x14ac:dyDescent="0.3">
      <c r="A658" s="53" t="s">
        <v>1254</v>
      </c>
      <c r="B658" s="41" t="s">
        <v>351</v>
      </c>
      <c r="C658" s="41" t="s">
        <v>352</v>
      </c>
      <c r="D658" s="48">
        <v>185</v>
      </c>
      <c r="E658" s="58" t="str">
        <f t="shared" si="10"/>
        <v>A</v>
      </c>
    </row>
    <row r="659" spans="1:5" x14ac:dyDescent="0.3">
      <c r="A659" s="53" t="s">
        <v>1255</v>
      </c>
      <c r="B659" s="41" t="s">
        <v>2036</v>
      </c>
      <c r="C659" s="41" t="s">
        <v>2036</v>
      </c>
      <c r="D659" s="48">
        <v>10445</v>
      </c>
      <c r="E659" s="58" t="str">
        <f t="shared" si="10"/>
        <v>C</v>
      </c>
    </row>
    <row r="660" spans="1:5" x14ac:dyDescent="0.3">
      <c r="A660" s="53" t="s">
        <v>1256</v>
      </c>
      <c r="B660" s="41" t="s">
        <v>2037</v>
      </c>
      <c r="C660" s="41" t="s">
        <v>2037</v>
      </c>
      <c r="D660" s="48">
        <v>7145</v>
      </c>
      <c r="E660" s="58" t="str">
        <f t="shared" si="10"/>
        <v>B</v>
      </c>
    </row>
    <row r="661" spans="1:5" x14ac:dyDescent="0.3">
      <c r="A661" s="53" t="s">
        <v>1257</v>
      </c>
      <c r="B661" s="41" t="s">
        <v>2038</v>
      </c>
      <c r="C661" s="41" t="s">
        <v>2038</v>
      </c>
      <c r="D661" s="48">
        <v>5495</v>
      </c>
      <c r="E661" s="58" t="str">
        <f t="shared" si="10"/>
        <v>B</v>
      </c>
    </row>
    <row r="662" spans="1:5" x14ac:dyDescent="0.3">
      <c r="A662" s="53" t="s">
        <v>1258</v>
      </c>
      <c r="B662" s="41" t="s">
        <v>2039</v>
      </c>
      <c r="C662" s="41" t="s">
        <v>313</v>
      </c>
      <c r="D662" s="48">
        <v>1095</v>
      </c>
      <c r="E662" s="58" t="str">
        <f t="shared" si="10"/>
        <v>B</v>
      </c>
    </row>
    <row r="663" spans="1:5" x14ac:dyDescent="0.3">
      <c r="A663" s="53" t="s">
        <v>1259</v>
      </c>
      <c r="B663" s="41" t="s">
        <v>2040</v>
      </c>
      <c r="C663" s="41" t="s">
        <v>314</v>
      </c>
      <c r="D663" s="48">
        <v>1095</v>
      </c>
      <c r="E663" s="58" t="str">
        <f t="shared" si="10"/>
        <v>B</v>
      </c>
    </row>
    <row r="664" spans="1:5" x14ac:dyDescent="0.3">
      <c r="A664" s="53" t="s">
        <v>1260</v>
      </c>
      <c r="B664" s="41" t="s">
        <v>2041</v>
      </c>
      <c r="C664" s="41" t="s">
        <v>315</v>
      </c>
      <c r="D664" s="48">
        <v>825</v>
      </c>
      <c r="E664" s="58" t="str">
        <f t="shared" si="10"/>
        <v>A</v>
      </c>
    </row>
    <row r="665" spans="1:5" x14ac:dyDescent="0.3">
      <c r="A665" s="53" t="s">
        <v>1261</v>
      </c>
      <c r="B665" s="41" t="s">
        <v>2042</v>
      </c>
      <c r="C665" s="41" t="s">
        <v>316</v>
      </c>
      <c r="D665" s="48">
        <v>545</v>
      </c>
      <c r="E665" s="58" t="str">
        <f t="shared" si="10"/>
        <v>A</v>
      </c>
    </row>
    <row r="666" spans="1:5" x14ac:dyDescent="0.3">
      <c r="A666" s="53" t="s">
        <v>1262</v>
      </c>
      <c r="B666" s="41" t="s">
        <v>2043</v>
      </c>
      <c r="C666" s="41" t="s">
        <v>2043</v>
      </c>
      <c r="D666" s="48">
        <v>198</v>
      </c>
      <c r="E666" s="58" t="str">
        <f t="shared" si="10"/>
        <v>A</v>
      </c>
    </row>
    <row r="667" spans="1:5" x14ac:dyDescent="0.3">
      <c r="A667" s="53" t="s">
        <v>1263</v>
      </c>
      <c r="B667" s="41" t="s">
        <v>2044</v>
      </c>
      <c r="C667" s="41" t="s">
        <v>2044</v>
      </c>
      <c r="D667" s="48">
        <v>198</v>
      </c>
      <c r="E667" s="58" t="str">
        <f t="shared" si="10"/>
        <v>A</v>
      </c>
    </row>
    <row r="668" spans="1:5" x14ac:dyDescent="0.3">
      <c r="A668" s="53" t="s">
        <v>1264</v>
      </c>
      <c r="B668" s="41" t="s">
        <v>2045</v>
      </c>
      <c r="C668" s="41" t="s">
        <v>2045</v>
      </c>
      <c r="D668" s="48">
        <v>198</v>
      </c>
      <c r="E668" s="58" t="str">
        <f t="shared" si="10"/>
        <v>A</v>
      </c>
    </row>
    <row r="669" spans="1:5" x14ac:dyDescent="0.3">
      <c r="A669" s="53" t="s">
        <v>1265</v>
      </c>
      <c r="B669" s="41" t="s">
        <v>2046</v>
      </c>
      <c r="C669" s="41" t="s">
        <v>2046</v>
      </c>
      <c r="D669" s="48">
        <v>198</v>
      </c>
      <c r="E669" s="58" t="str">
        <f t="shared" si="10"/>
        <v>A</v>
      </c>
    </row>
    <row r="670" spans="1:5" x14ac:dyDescent="0.3">
      <c r="A670" s="53" t="s">
        <v>1266</v>
      </c>
      <c r="B670" s="41" t="s">
        <v>2047</v>
      </c>
      <c r="C670" s="41" t="s">
        <v>2047</v>
      </c>
      <c r="D670" s="48">
        <v>198</v>
      </c>
      <c r="E670" s="58" t="str">
        <f t="shared" si="10"/>
        <v>A</v>
      </c>
    </row>
    <row r="671" spans="1:5" x14ac:dyDescent="0.3">
      <c r="A671" s="53" t="s">
        <v>1267</v>
      </c>
      <c r="B671" s="41" t="s">
        <v>2048</v>
      </c>
      <c r="C671" s="41" t="s">
        <v>2048</v>
      </c>
      <c r="D671" s="48">
        <v>198</v>
      </c>
      <c r="E671" s="58" t="str">
        <f t="shared" si="10"/>
        <v>A</v>
      </c>
    </row>
    <row r="672" spans="1:5" x14ac:dyDescent="0.3">
      <c r="A672" s="53" t="s">
        <v>1268</v>
      </c>
      <c r="B672" s="41" t="s">
        <v>317</v>
      </c>
      <c r="C672" s="41" t="s">
        <v>317</v>
      </c>
      <c r="D672" s="48">
        <v>765</v>
      </c>
      <c r="E672" s="58" t="str">
        <f t="shared" si="10"/>
        <v>A</v>
      </c>
    </row>
    <row r="673" spans="1:5" x14ac:dyDescent="0.3">
      <c r="A673" s="53" t="s">
        <v>1269</v>
      </c>
      <c r="B673" s="41" t="s">
        <v>2049</v>
      </c>
      <c r="C673" s="41" t="s">
        <v>319</v>
      </c>
      <c r="D673" s="48">
        <v>4395</v>
      </c>
      <c r="E673" s="58" t="str">
        <f t="shared" si="10"/>
        <v>B</v>
      </c>
    </row>
    <row r="674" spans="1:5" x14ac:dyDescent="0.3">
      <c r="A674" s="53" t="s">
        <v>1270</v>
      </c>
      <c r="B674" s="41" t="s">
        <v>2050</v>
      </c>
      <c r="C674" s="41" t="s">
        <v>320</v>
      </c>
      <c r="D674" s="48">
        <v>7195</v>
      </c>
      <c r="E674" s="58" t="str">
        <f t="shared" si="10"/>
        <v>B</v>
      </c>
    </row>
    <row r="675" spans="1:5" x14ac:dyDescent="0.3">
      <c r="A675" s="53" t="s">
        <v>1271</v>
      </c>
      <c r="B675" s="41" t="s">
        <v>2051</v>
      </c>
      <c r="C675" s="41" t="s">
        <v>321</v>
      </c>
      <c r="D675" s="48">
        <v>2745</v>
      </c>
      <c r="E675" s="58" t="str">
        <f t="shared" si="10"/>
        <v>B</v>
      </c>
    </row>
    <row r="676" spans="1:5" x14ac:dyDescent="0.3">
      <c r="A676" s="53" t="s">
        <v>1272</v>
      </c>
      <c r="B676" s="41" t="s">
        <v>2052</v>
      </c>
      <c r="C676" s="41" t="s">
        <v>322</v>
      </c>
      <c r="D676" s="48">
        <v>8795</v>
      </c>
      <c r="E676" s="58" t="str">
        <f t="shared" si="10"/>
        <v>B</v>
      </c>
    </row>
    <row r="677" spans="1:5" x14ac:dyDescent="0.3">
      <c r="A677" s="53" t="s">
        <v>1273</v>
      </c>
      <c r="B677" s="41" t="s">
        <v>2053</v>
      </c>
      <c r="C677" s="41" t="s">
        <v>323</v>
      </c>
      <c r="D677" s="48">
        <v>11495</v>
      </c>
      <c r="E677" s="58" t="str">
        <f t="shared" si="10"/>
        <v>C</v>
      </c>
    </row>
    <row r="678" spans="1:5" x14ac:dyDescent="0.3">
      <c r="A678" s="53" t="s">
        <v>1274</v>
      </c>
      <c r="B678" s="41" t="s">
        <v>2054</v>
      </c>
      <c r="C678" s="41" t="s">
        <v>324</v>
      </c>
      <c r="D678" s="48">
        <v>7195</v>
      </c>
      <c r="E678" s="58" t="str">
        <f t="shared" si="10"/>
        <v>B</v>
      </c>
    </row>
    <row r="679" spans="1:5" x14ac:dyDescent="0.3">
      <c r="A679" s="53" t="s">
        <v>1275</v>
      </c>
      <c r="B679" s="41" t="s">
        <v>2055</v>
      </c>
      <c r="C679" s="41" t="s">
        <v>325</v>
      </c>
      <c r="D679" s="48">
        <v>13195</v>
      </c>
      <c r="E679" s="58" t="str">
        <f t="shared" si="10"/>
        <v>C</v>
      </c>
    </row>
    <row r="680" spans="1:5" x14ac:dyDescent="0.3">
      <c r="A680" s="53" t="s">
        <v>1276</v>
      </c>
      <c r="B680" s="41" t="s">
        <v>2056</v>
      </c>
      <c r="C680" s="41" t="s">
        <v>326</v>
      </c>
      <c r="D680" s="48">
        <v>15395</v>
      </c>
      <c r="E680" s="58" t="str">
        <f t="shared" si="10"/>
        <v>C</v>
      </c>
    </row>
    <row r="681" spans="1:5" x14ac:dyDescent="0.3">
      <c r="A681" s="53" t="s">
        <v>1277</v>
      </c>
      <c r="B681" s="41" t="s">
        <v>2057</v>
      </c>
      <c r="C681" s="41" t="s">
        <v>326</v>
      </c>
      <c r="D681" s="48">
        <v>10495</v>
      </c>
      <c r="E681" s="58" t="str">
        <f t="shared" si="10"/>
        <v>C</v>
      </c>
    </row>
    <row r="682" spans="1:5" x14ac:dyDescent="0.3">
      <c r="A682" s="53" t="s">
        <v>1278</v>
      </c>
      <c r="B682" s="41" t="s">
        <v>205</v>
      </c>
      <c r="C682" s="41" t="s">
        <v>206</v>
      </c>
      <c r="D682" s="48">
        <v>2745</v>
      </c>
      <c r="E682" s="58" t="str">
        <f t="shared" si="10"/>
        <v>B</v>
      </c>
    </row>
    <row r="683" spans="1:5" x14ac:dyDescent="0.3">
      <c r="A683" s="53" t="s">
        <v>1279</v>
      </c>
      <c r="B683" s="41" t="s">
        <v>207</v>
      </c>
      <c r="C683" s="41" t="s">
        <v>208</v>
      </c>
      <c r="D683" s="48">
        <v>5495</v>
      </c>
      <c r="E683" s="58" t="str">
        <f t="shared" si="10"/>
        <v>B</v>
      </c>
    </row>
    <row r="684" spans="1:5" x14ac:dyDescent="0.3">
      <c r="A684" s="53" t="s">
        <v>1280</v>
      </c>
      <c r="B684" s="41" t="s">
        <v>211</v>
      </c>
      <c r="C684" s="41" t="s">
        <v>327</v>
      </c>
      <c r="D684" s="48">
        <v>5495</v>
      </c>
      <c r="E684" s="58" t="str">
        <f t="shared" si="10"/>
        <v>B</v>
      </c>
    </row>
    <row r="685" spans="1:5" x14ac:dyDescent="0.3">
      <c r="A685" s="53" t="s">
        <v>1281</v>
      </c>
      <c r="B685" s="41" t="s">
        <v>212</v>
      </c>
      <c r="C685" s="41" t="s">
        <v>328</v>
      </c>
      <c r="D685" s="48">
        <v>6595</v>
      </c>
      <c r="E685" s="58" t="str">
        <f t="shared" si="10"/>
        <v>B</v>
      </c>
    </row>
    <row r="686" spans="1:5" x14ac:dyDescent="0.3">
      <c r="A686" s="53" t="s">
        <v>1282</v>
      </c>
      <c r="B686" s="41" t="s">
        <v>209</v>
      </c>
      <c r="C686" s="41" t="s">
        <v>209</v>
      </c>
      <c r="D686" s="48">
        <v>1595</v>
      </c>
      <c r="E686" s="58" t="str">
        <f t="shared" si="10"/>
        <v>B</v>
      </c>
    </row>
    <row r="687" spans="1:5" x14ac:dyDescent="0.3">
      <c r="A687" s="53" t="s">
        <v>1283</v>
      </c>
      <c r="B687" s="41" t="s">
        <v>2303</v>
      </c>
      <c r="C687" s="41" t="s">
        <v>210</v>
      </c>
      <c r="D687" s="48">
        <v>2395</v>
      </c>
      <c r="E687" s="58" t="str">
        <f t="shared" si="10"/>
        <v>B</v>
      </c>
    </row>
    <row r="688" spans="1:5" x14ac:dyDescent="0.3">
      <c r="A688" s="53" t="s">
        <v>1284</v>
      </c>
      <c r="B688" s="41" t="s">
        <v>2310</v>
      </c>
      <c r="C688" s="41" t="s">
        <v>329</v>
      </c>
      <c r="D688" s="48">
        <v>14295</v>
      </c>
      <c r="E688" s="58" t="str">
        <f t="shared" si="10"/>
        <v>C</v>
      </c>
    </row>
    <row r="689" spans="1:5" x14ac:dyDescent="0.3">
      <c r="A689" s="53" t="s">
        <v>1285</v>
      </c>
      <c r="B689" s="41" t="s">
        <v>2311</v>
      </c>
      <c r="C689" s="41" t="s">
        <v>330</v>
      </c>
      <c r="D689" s="48">
        <v>21995</v>
      </c>
      <c r="E689" s="58" t="str">
        <f t="shared" si="10"/>
        <v>C</v>
      </c>
    </row>
    <row r="690" spans="1:5" x14ac:dyDescent="0.3">
      <c r="A690" s="53" t="s">
        <v>1286</v>
      </c>
      <c r="B690" s="41" t="s">
        <v>2312</v>
      </c>
      <c r="C690" s="41" t="s">
        <v>2312</v>
      </c>
      <c r="D690" s="48">
        <v>6595</v>
      </c>
      <c r="E690" s="58" t="str">
        <f t="shared" si="10"/>
        <v>B</v>
      </c>
    </row>
    <row r="691" spans="1:5" x14ac:dyDescent="0.3">
      <c r="A691" s="53" t="s">
        <v>1287</v>
      </c>
      <c r="B691" s="41" t="s">
        <v>2313</v>
      </c>
      <c r="C691" s="41" t="s">
        <v>2314</v>
      </c>
      <c r="D691" s="48">
        <v>7695</v>
      </c>
      <c r="E691" s="58" t="str">
        <f t="shared" si="10"/>
        <v>B</v>
      </c>
    </row>
    <row r="692" spans="1:5" x14ac:dyDescent="0.3">
      <c r="A692" s="53" t="s">
        <v>1288</v>
      </c>
      <c r="B692" s="41" t="s">
        <v>2315</v>
      </c>
      <c r="C692" s="41" t="s">
        <v>2316</v>
      </c>
      <c r="D692" s="48">
        <v>5495</v>
      </c>
      <c r="E692" s="58" t="str">
        <f t="shared" si="10"/>
        <v>B</v>
      </c>
    </row>
    <row r="693" spans="1:5" x14ac:dyDescent="0.3">
      <c r="A693" s="53" t="s">
        <v>1289</v>
      </c>
      <c r="B693" s="41" t="s">
        <v>2317</v>
      </c>
      <c r="C693" s="41" t="s">
        <v>331</v>
      </c>
      <c r="D693" s="48">
        <v>6045</v>
      </c>
      <c r="E693" s="58" t="str">
        <f t="shared" si="10"/>
        <v>B</v>
      </c>
    </row>
    <row r="694" spans="1:5" x14ac:dyDescent="0.3">
      <c r="A694" s="53" t="s">
        <v>1290</v>
      </c>
      <c r="B694" s="41" t="s">
        <v>2318</v>
      </c>
      <c r="C694" s="41" t="s">
        <v>332</v>
      </c>
      <c r="D694" s="48">
        <v>8795</v>
      </c>
      <c r="E694" s="58" t="str">
        <f t="shared" si="10"/>
        <v>B</v>
      </c>
    </row>
    <row r="695" spans="1:5" x14ac:dyDescent="0.3">
      <c r="A695" s="53" t="s">
        <v>1291</v>
      </c>
      <c r="B695" s="41" t="s">
        <v>2319</v>
      </c>
      <c r="C695" s="41" t="s">
        <v>333</v>
      </c>
      <c r="D695" s="48">
        <v>10995</v>
      </c>
      <c r="E695" s="58" t="str">
        <f t="shared" si="10"/>
        <v>C</v>
      </c>
    </row>
    <row r="696" spans="1:5" x14ac:dyDescent="0.3">
      <c r="A696" s="53" t="s">
        <v>1292</v>
      </c>
      <c r="B696" s="41" t="s">
        <v>359</v>
      </c>
      <c r="C696" s="41" t="s">
        <v>360</v>
      </c>
      <c r="D696" s="48">
        <v>325</v>
      </c>
      <c r="E696" s="58" t="str">
        <f t="shared" si="10"/>
        <v>A</v>
      </c>
    </row>
    <row r="697" spans="1:5" x14ac:dyDescent="0.3">
      <c r="A697" s="53" t="s">
        <v>1293</v>
      </c>
      <c r="B697" s="41" t="s">
        <v>590</v>
      </c>
      <c r="C697" s="41" t="s">
        <v>591</v>
      </c>
      <c r="D697" s="48">
        <v>490</v>
      </c>
      <c r="E697" s="58" t="str">
        <f t="shared" si="10"/>
        <v>A</v>
      </c>
    </row>
    <row r="698" spans="1:5" x14ac:dyDescent="0.3">
      <c r="A698" s="53" t="s">
        <v>1294</v>
      </c>
      <c r="B698" s="41" t="s">
        <v>592</v>
      </c>
      <c r="C698" s="41" t="s">
        <v>593</v>
      </c>
      <c r="D698" s="48">
        <v>490</v>
      </c>
      <c r="E698" s="58" t="str">
        <f t="shared" si="10"/>
        <v>A</v>
      </c>
    </row>
    <row r="699" spans="1:5" x14ac:dyDescent="0.3">
      <c r="A699" s="53" t="s">
        <v>1295</v>
      </c>
      <c r="B699" s="41" t="s">
        <v>173</v>
      </c>
      <c r="C699" s="41" t="s">
        <v>595</v>
      </c>
      <c r="D699" s="48">
        <v>1095</v>
      </c>
      <c r="E699" s="58" t="str">
        <f t="shared" si="10"/>
        <v>B</v>
      </c>
    </row>
    <row r="700" spans="1:5" x14ac:dyDescent="0.3">
      <c r="A700" s="53" t="s">
        <v>1296</v>
      </c>
      <c r="B700" s="41" t="s">
        <v>518</v>
      </c>
      <c r="C700" s="41" t="s">
        <v>595</v>
      </c>
      <c r="D700" s="48">
        <v>4395</v>
      </c>
      <c r="E700" s="58" t="str">
        <f t="shared" si="10"/>
        <v>B</v>
      </c>
    </row>
    <row r="701" spans="1:5" x14ac:dyDescent="0.3">
      <c r="A701" s="53" t="s">
        <v>1297</v>
      </c>
      <c r="B701" s="41" t="s">
        <v>588</v>
      </c>
      <c r="C701" s="41" t="s">
        <v>589</v>
      </c>
      <c r="D701" s="48">
        <v>5495</v>
      </c>
      <c r="E701" s="58" t="str">
        <f t="shared" si="10"/>
        <v>B</v>
      </c>
    </row>
    <row r="702" spans="1:5" x14ac:dyDescent="0.3">
      <c r="A702" s="53" t="s">
        <v>1298</v>
      </c>
      <c r="B702" s="41" t="s">
        <v>1851</v>
      </c>
      <c r="C702" s="41" t="s">
        <v>550</v>
      </c>
      <c r="D702" s="48">
        <v>5495</v>
      </c>
      <c r="E702" s="58" t="str">
        <f t="shared" si="10"/>
        <v>B</v>
      </c>
    </row>
    <row r="703" spans="1:5" x14ac:dyDescent="0.3">
      <c r="A703" s="53" t="s">
        <v>1299</v>
      </c>
      <c r="B703" s="41" t="s">
        <v>1852</v>
      </c>
      <c r="C703" s="41" t="s">
        <v>551</v>
      </c>
      <c r="D703" s="48">
        <v>5495</v>
      </c>
      <c r="E703" s="58" t="str">
        <f t="shared" si="10"/>
        <v>B</v>
      </c>
    </row>
    <row r="704" spans="1:5" x14ac:dyDescent="0.3">
      <c r="A704" s="53" t="s">
        <v>1300</v>
      </c>
      <c r="B704" s="41" t="s">
        <v>1853</v>
      </c>
      <c r="C704" s="41" t="s">
        <v>552</v>
      </c>
      <c r="D704" s="48">
        <v>5495</v>
      </c>
      <c r="E704" s="58" t="str">
        <f t="shared" si="10"/>
        <v>B</v>
      </c>
    </row>
    <row r="705" spans="1:5" x14ac:dyDescent="0.3">
      <c r="A705" s="53" t="s">
        <v>1301</v>
      </c>
      <c r="B705" s="41" t="s">
        <v>1854</v>
      </c>
      <c r="C705" s="41" t="s">
        <v>553</v>
      </c>
      <c r="D705" s="48">
        <v>5495</v>
      </c>
      <c r="E705" s="58" t="str">
        <f t="shared" si="10"/>
        <v>B</v>
      </c>
    </row>
    <row r="706" spans="1:5" x14ac:dyDescent="0.3">
      <c r="A706" s="53" t="s">
        <v>1302</v>
      </c>
      <c r="B706" s="41" t="s">
        <v>1855</v>
      </c>
      <c r="C706" s="41" t="s">
        <v>554</v>
      </c>
      <c r="D706" s="48">
        <v>5495</v>
      </c>
      <c r="E706" s="58" t="str">
        <f t="shared" si="10"/>
        <v>B</v>
      </c>
    </row>
    <row r="707" spans="1:5" x14ac:dyDescent="0.3">
      <c r="A707" s="53" t="s">
        <v>1303</v>
      </c>
      <c r="B707" s="41" t="s">
        <v>1856</v>
      </c>
      <c r="C707" s="41" t="s">
        <v>555</v>
      </c>
      <c r="D707" s="48">
        <v>5495</v>
      </c>
      <c r="E707" s="58" t="str">
        <f t="shared" si="10"/>
        <v>B</v>
      </c>
    </row>
    <row r="708" spans="1:5" x14ac:dyDescent="0.3">
      <c r="A708" s="53" t="s">
        <v>1304</v>
      </c>
      <c r="B708" s="41" t="s">
        <v>1857</v>
      </c>
      <c r="C708" s="41" t="s">
        <v>556</v>
      </c>
      <c r="D708" s="48">
        <v>5495</v>
      </c>
      <c r="E708" s="58" t="str">
        <f t="shared" si="10"/>
        <v>B</v>
      </c>
    </row>
    <row r="709" spans="1:5" x14ac:dyDescent="0.3">
      <c r="A709" s="53" t="s">
        <v>1305</v>
      </c>
      <c r="B709" s="41" t="s">
        <v>1858</v>
      </c>
      <c r="C709" s="41" t="s">
        <v>557</v>
      </c>
      <c r="D709" s="48">
        <v>5495</v>
      </c>
      <c r="E709" s="58" t="str">
        <f t="shared" ref="E709:E772" si="11">VLOOKUP(D709,$G$4:$H$7,2)</f>
        <v>B</v>
      </c>
    </row>
    <row r="710" spans="1:5" x14ac:dyDescent="0.3">
      <c r="A710" s="53" t="s">
        <v>1306</v>
      </c>
      <c r="B710" s="41" t="s">
        <v>334</v>
      </c>
      <c r="C710" s="41" t="s">
        <v>335</v>
      </c>
      <c r="D710" s="48">
        <v>7695</v>
      </c>
      <c r="E710" s="58" t="str">
        <f t="shared" si="11"/>
        <v>B</v>
      </c>
    </row>
    <row r="711" spans="1:5" x14ac:dyDescent="0.3">
      <c r="A711" s="53" t="s">
        <v>1307</v>
      </c>
      <c r="B711" s="41" t="s">
        <v>336</v>
      </c>
      <c r="C711" s="41" t="s">
        <v>337</v>
      </c>
      <c r="D711" s="48">
        <v>10995</v>
      </c>
      <c r="E711" s="58" t="str">
        <f t="shared" si="11"/>
        <v>C</v>
      </c>
    </row>
    <row r="712" spans="1:5" x14ac:dyDescent="0.3">
      <c r="A712" s="53" t="s">
        <v>1308</v>
      </c>
      <c r="B712" s="41" t="s">
        <v>536</v>
      </c>
      <c r="C712" s="41" t="s">
        <v>318</v>
      </c>
      <c r="D712" s="48">
        <v>2745</v>
      </c>
      <c r="E712" s="58" t="str">
        <f t="shared" si="11"/>
        <v>B</v>
      </c>
    </row>
    <row r="713" spans="1:5" x14ac:dyDescent="0.3">
      <c r="A713" s="53" t="s">
        <v>1309</v>
      </c>
      <c r="B713" s="41" t="s">
        <v>538</v>
      </c>
      <c r="C713" s="41" t="s">
        <v>539</v>
      </c>
      <c r="D713" s="48">
        <v>3845</v>
      </c>
      <c r="E713" s="58" t="str">
        <f t="shared" si="11"/>
        <v>B</v>
      </c>
    </row>
    <row r="714" spans="1:5" x14ac:dyDescent="0.3">
      <c r="A714" s="53" t="s">
        <v>1310</v>
      </c>
      <c r="B714" s="41" t="s">
        <v>542</v>
      </c>
      <c r="C714" s="41" t="s">
        <v>543</v>
      </c>
      <c r="D714" s="48">
        <v>10995</v>
      </c>
      <c r="E714" s="58" t="str">
        <f t="shared" si="11"/>
        <v>C</v>
      </c>
    </row>
    <row r="715" spans="1:5" x14ac:dyDescent="0.3">
      <c r="A715" s="53" t="s">
        <v>1311</v>
      </c>
      <c r="B715" s="41" t="s">
        <v>519</v>
      </c>
      <c r="C715" s="41" t="s">
        <v>520</v>
      </c>
      <c r="D715" s="48">
        <v>14295</v>
      </c>
      <c r="E715" s="58" t="str">
        <f t="shared" si="11"/>
        <v>C</v>
      </c>
    </row>
    <row r="716" spans="1:5" x14ac:dyDescent="0.3">
      <c r="A716" s="53" t="s">
        <v>1312</v>
      </c>
      <c r="B716" s="41" t="s">
        <v>540</v>
      </c>
      <c r="C716" s="41" t="s">
        <v>541</v>
      </c>
      <c r="D716" s="48">
        <v>5495</v>
      </c>
      <c r="E716" s="58" t="str">
        <f t="shared" si="11"/>
        <v>B</v>
      </c>
    </row>
    <row r="717" spans="1:5" x14ac:dyDescent="0.3">
      <c r="A717" s="53" t="s">
        <v>1313</v>
      </c>
      <c r="B717" s="41" t="s">
        <v>535</v>
      </c>
      <c r="C717" s="41" t="s">
        <v>535</v>
      </c>
      <c r="D717" s="48">
        <v>1095</v>
      </c>
      <c r="E717" s="58" t="str">
        <f t="shared" si="11"/>
        <v>B</v>
      </c>
    </row>
    <row r="718" spans="1:5" x14ac:dyDescent="0.3">
      <c r="A718" s="54" t="s">
        <v>1314</v>
      </c>
      <c r="B718" s="33" t="s">
        <v>521</v>
      </c>
      <c r="C718" s="33" t="s">
        <v>215</v>
      </c>
      <c r="D718" s="32">
        <v>32995</v>
      </c>
      <c r="E718" s="58" t="str">
        <f t="shared" si="11"/>
        <v>D</v>
      </c>
    </row>
    <row r="719" spans="1:5" x14ac:dyDescent="0.3">
      <c r="A719" s="54" t="s">
        <v>1315</v>
      </c>
      <c r="B719" s="33" t="s">
        <v>216</v>
      </c>
      <c r="C719" s="33" t="s">
        <v>217</v>
      </c>
      <c r="D719" s="32">
        <v>32995</v>
      </c>
      <c r="E719" s="58" t="str">
        <f t="shared" si="11"/>
        <v>D</v>
      </c>
    </row>
    <row r="720" spans="1:5" x14ac:dyDescent="0.3">
      <c r="A720" s="54" t="s">
        <v>1316</v>
      </c>
      <c r="B720" s="33" t="s">
        <v>218</v>
      </c>
      <c r="C720" s="33" t="s">
        <v>219</v>
      </c>
      <c r="D720" s="32">
        <v>32995</v>
      </c>
      <c r="E720" s="58" t="str">
        <f t="shared" si="11"/>
        <v>D</v>
      </c>
    </row>
    <row r="721" spans="1:5" x14ac:dyDescent="0.3">
      <c r="A721" s="54" t="s">
        <v>1317</v>
      </c>
      <c r="B721" s="33" t="s">
        <v>220</v>
      </c>
      <c r="C721" s="33" t="s">
        <v>221</v>
      </c>
      <c r="D721" s="32">
        <v>32995</v>
      </c>
      <c r="E721" s="58" t="str">
        <f t="shared" si="11"/>
        <v>D</v>
      </c>
    </row>
    <row r="722" spans="1:5" x14ac:dyDescent="0.3">
      <c r="A722" s="54" t="s">
        <v>1318</v>
      </c>
      <c r="B722" s="33" t="s">
        <v>222</v>
      </c>
      <c r="C722" s="33" t="s">
        <v>223</v>
      </c>
      <c r="D722" s="32">
        <v>32995</v>
      </c>
      <c r="E722" s="58" t="str">
        <f t="shared" si="11"/>
        <v>D</v>
      </c>
    </row>
    <row r="723" spans="1:5" x14ac:dyDescent="0.3">
      <c r="A723" s="54" t="s">
        <v>1319</v>
      </c>
      <c r="B723" s="33" t="s">
        <v>224</v>
      </c>
      <c r="C723" s="33" t="s">
        <v>225</v>
      </c>
      <c r="D723" s="32">
        <v>32995</v>
      </c>
      <c r="E723" s="58" t="str">
        <f t="shared" si="11"/>
        <v>D</v>
      </c>
    </row>
    <row r="724" spans="1:5" x14ac:dyDescent="0.3">
      <c r="A724" s="54" t="s">
        <v>1320</v>
      </c>
      <c r="B724" s="33" t="s">
        <v>226</v>
      </c>
      <c r="C724" s="33" t="s">
        <v>227</v>
      </c>
      <c r="D724" s="32">
        <v>32995</v>
      </c>
      <c r="E724" s="58" t="str">
        <f t="shared" si="11"/>
        <v>D</v>
      </c>
    </row>
    <row r="725" spans="1:5" x14ac:dyDescent="0.3">
      <c r="A725" s="54" t="s">
        <v>1321</v>
      </c>
      <c r="B725" s="33" t="s">
        <v>228</v>
      </c>
      <c r="C725" s="33" t="s">
        <v>229</v>
      </c>
      <c r="D725" s="32">
        <v>32995</v>
      </c>
      <c r="E725" s="58" t="str">
        <f t="shared" si="11"/>
        <v>D</v>
      </c>
    </row>
    <row r="726" spans="1:5" x14ac:dyDescent="0.3">
      <c r="A726" s="54" t="s">
        <v>1322</v>
      </c>
      <c r="B726" s="33" t="s">
        <v>230</v>
      </c>
      <c r="C726" s="33" t="s">
        <v>231</v>
      </c>
      <c r="D726" s="32">
        <v>32995</v>
      </c>
      <c r="E726" s="58" t="str">
        <f t="shared" si="11"/>
        <v>D</v>
      </c>
    </row>
    <row r="727" spans="1:5" x14ac:dyDescent="0.3">
      <c r="A727" s="54" t="s">
        <v>1323</v>
      </c>
      <c r="B727" s="33" t="s">
        <v>232</v>
      </c>
      <c r="C727" s="33" t="s">
        <v>233</v>
      </c>
      <c r="D727" s="32">
        <v>32995</v>
      </c>
      <c r="E727" s="58" t="str">
        <f t="shared" si="11"/>
        <v>D</v>
      </c>
    </row>
    <row r="728" spans="1:5" x14ac:dyDescent="0.3">
      <c r="A728" s="54" t="s">
        <v>1324</v>
      </c>
      <c r="B728" s="33" t="s">
        <v>234</v>
      </c>
      <c r="C728" s="33" t="s">
        <v>235</v>
      </c>
      <c r="D728" s="32">
        <v>32995</v>
      </c>
      <c r="E728" s="58" t="str">
        <f t="shared" si="11"/>
        <v>D</v>
      </c>
    </row>
    <row r="729" spans="1:5" x14ac:dyDescent="0.3">
      <c r="A729" s="54" t="s">
        <v>1325</v>
      </c>
      <c r="B729" s="33" t="s">
        <v>236</v>
      </c>
      <c r="C729" s="33" t="s">
        <v>237</v>
      </c>
      <c r="D729" s="32">
        <v>32995</v>
      </c>
      <c r="E729" s="58" t="str">
        <f t="shared" si="11"/>
        <v>D</v>
      </c>
    </row>
    <row r="730" spans="1:5" x14ac:dyDescent="0.3">
      <c r="A730" s="54" t="s">
        <v>1326</v>
      </c>
      <c r="B730" s="33" t="s">
        <v>238</v>
      </c>
      <c r="C730" s="33" t="s">
        <v>239</v>
      </c>
      <c r="D730" s="32">
        <v>32995</v>
      </c>
      <c r="E730" s="58" t="str">
        <f t="shared" si="11"/>
        <v>D</v>
      </c>
    </row>
    <row r="731" spans="1:5" x14ac:dyDescent="0.3">
      <c r="A731" s="54" t="s">
        <v>1327</v>
      </c>
      <c r="B731" s="33" t="s">
        <v>240</v>
      </c>
      <c r="C731" s="33" t="s">
        <v>241</v>
      </c>
      <c r="D731" s="32">
        <v>32995</v>
      </c>
      <c r="E731" s="58" t="str">
        <f t="shared" si="11"/>
        <v>D</v>
      </c>
    </row>
    <row r="732" spans="1:5" x14ac:dyDescent="0.3">
      <c r="A732" s="54" t="s">
        <v>1328</v>
      </c>
      <c r="B732" s="33" t="s">
        <v>242</v>
      </c>
      <c r="C732" s="33" t="s">
        <v>243</v>
      </c>
      <c r="D732" s="32">
        <v>32995</v>
      </c>
      <c r="E732" s="58" t="str">
        <f t="shared" si="11"/>
        <v>D</v>
      </c>
    </row>
    <row r="733" spans="1:5" x14ac:dyDescent="0.3">
      <c r="A733" s="54" t="s">
        <v>1329</v>
      </c>
      <c r="B733" s="33" t="s">
        <v>244</v>
      </c>
      <c r="C733" s="33" t="s">
        <v>245</v>
      </c>
      <c r="D733" s="32">
        <v>32995</v>
      </c>
      <c r="E733" s="58" t="str">
        <f t="shared" si="11"/>
        <v>D</v>
      </c>
    </row>
    <row r="734" spans="1:5" x14ac:dyDescent="0.3">
      <c r="A734" s="54" t="s">
        <v>1330</v>
      </c>
      <c r="B734" s="33" t="s">
        <v>246</v>
      </c>
      <c r="C734" s="33" t="s">
        <v>247</v>
      </c>
      <c r="D734" s="32">
        <v>32995</v>
      </c>
      <c r="E734" s="58" t="str">
        <f t="shared" si="11"/>
        <v>D</v>
      </c>
    </row>
    <row r="735" spans="1:5" x14ac:dyDescent="0.3">
      <c r="A735" s="54" t="s">
        <v>1331</v>
      </c>
      <c r="B735" s="33" t="s">
        <v>248</v>
      </c>
      <c r="C735" s="33" t="s">
        <v>249</v>
      </c>
      <c r="D735" s="32">
        <v>32995</v>
      </c>
      <c r="E735" s="58" t="str">
        <f t="shared" si="11"/>
        <v>D</v>
      </c>
    </row>
    <row r="736" spans="1:5" x14ac:dyDescent="0.3">
      <c r="A736" s="54" t="s">
        <v>1332</v>
      </c>
      <c r="B736" s="33" t="s">
        <v>250</v>
      </c>
      <c r="C736" s="33" t="s">
        <v>251</v>
      </c>
      <c r="D736" s="32">
        <v>32995</v>
      </c>
      <c r="E736" s="58" t="str">
        <f t="shared" si="11"/>
        <v>D</v>
      </c>
    </row>
    <row r="737" spans="1:5" x14ac:dyDescent="0.3">
      <c r="A737" s="54" t="s">
        <v>1333</v>
      </c>
      <c r="B737" s="33" t="s">
        <v>252</v>
      </c>
      <c r="C737" s="33" t="s">
        <v>253</v>
      </c>
      <c r="D737" s="32">
        <v>32995</v>
      </c>
      <c r="E737" s="58" t="str">
        <f t="shared" si="11"/>
        <v>D</v>
      </c>
    </row>
    <row r="738" spans="1:5" x14ac:dyDescent="0.3">
      <c r="A738" s="54" t="s">
        <v>1334</v>
      </c>
      <c r="B738" s="33" t="s">
        <v>254</v>
      </c>
      <c r="C738" s="33" t="s">
        <v>255</v>
      </c>
      <c r="D738" s="32">
        <v>32995</v>
      </c>
      <c r="E738" s="58" t="str">
        <f t="shared" si="11"/>
        <v>D</v>
      </c>
    </row>
    <row r="739" spans="1:5" x14ac:dyDescent="0.3">
      <c r="A739" s="54" t="s">
        <v>1335</v>
      </c>
      <c r="B739" s="33" t="s">
        <v>256</v>
      </c>
      <c r="C739" s="33" t="s">
        <v>257</v>
      </c>
      <c r="D739" s="32">
        <v>32995</v>
      </c>
      <c r="E739" s="58" t="str">
        <f t="shared" si="11"/>
        <v>D</v>
      </c>
    </row>
    <row r="740" spans="1:5" x14ac:dyDescent="0.3">
      <c r="A740" s="54" t="s">
        <v>1336</v>
      </c>
      <c r="B740" s="33" t="s">
        <v>258</v>
      </c>
      <c r="C740" s="33" t="s">
        <v>259</v>
      </c>
      <c r="D740" s="32">
        <v>32995</v>
      </c>
      <c r="E740" s="58" t="str">
        <f t="shared" si="11"/>
        <v>D</v>
      </c>
    </row>
    <row r="741" spans="1:5" x14ac:dyDescent="0.3">
      <c r="A741" s="54" t="s">
        <v>1337</v>
      </c>
      <c r="B741" s="33" t="s">
        <v>260</v>
      </c>
      <c r="C741" s="33" t="s">
        <v>261</v>
      </c>
      <c r="D741" s="32">
        <v>32995</v>
      </c>
      <c r="E741" s="58" t="str">
        <f t="shared" si="11"/>
        <v>D</v>
      </c>
    </row>
    <row r="742" spans="1:5" x14ac:dyDescent="0.3">
      <c r="A742" s="54" t="s">
        <v>1338</v>
      </c>
      <c r="B742" s="33" t="s">
        <v>262</v>
      </c>
      <c r="C742" s="33" t="s">
        <v>263</v>
      </c>
      <c r="D742" s="32">
        <v>32995</v>
      </c>
      <c r="E742" s="58" t="str">
        <f t="shared" si="11"/>
        <v>D</v>
      </c>
    </row>
    <row r="743" spans="1:5" x14ac:dyDescent="0.3">
      <c r="A743" s="54" t="s">
        <v>1339</v>
      </c>
      <c r="B743" s="33" t="s">
        <v>264</v>
      </c>
      <c r="C743" s="33" t="s">
        <v>265</v>
      </c>
      <c r="D743" s="32">
        <v>32995</v>
      </c>
      <c r="E743" s="58" t="str">
        <f t="shared" si="11"/>
        <v>D</v>
      </c>
    </row>
    <row r="744" spans="1:5" x14ac:dyDescent="0.3">
      <c r="A744" s="54" t="s">
        <v>1340</v>
      </c>
      <c r="B744" s="33" t="s">
        <v>266</v>
      </c>
      <c r="C744" s="33" t="s">
        <v>267</v>
      </c>
      <c r="D744" s="32">
        <v>32995</v>
      </c>
      <c r="E744" s="58" t="str">
        <f t="shared" si="11"/>
        <v>D</v>
      </c>
    </row>
    <row r="745" spans="1:5" x14ac:dyDescent="0.3">
      <c r="A745" s="54" t="s">
        <v>1341</v>
      </c>
      <c r="B745" s="33" t="s">
        <v>268</v>
      </c>
      <c r="C745" s="33" t="s">
        <v>269</v>
      </c>
      <c r="D745" s="32">
        <v>32995</v>
      </c>
      <c r="E745" s="58" t="str">
        <f t="shared" si="11"/>
        <v>D</v>
      </c>
    </row>
    <row r="746" spans="1:5" x14ac:dyDescent="0.3">
      <c r="A746" s="54" t="s">
        <v>1342</v>
      </c>
      <c r="B746" s="33" t="s">
        <v>270</v>
      </c>
      <c r="C746" s="33" t="s">
        <v>271</v>
      </c>
      <c r="D746" s="32">
        <v>32995</v>
      </c>
      <c r="E746" s="58" t="str">
        <f t="shared" si="11"/>
        <v>D</v>
      </c>
    </row>
    <row r="747" spans="1:5" x14ac:dyDescent="0.3">
      <c r="A747" s="54" t="s">
        <v>1343</v>
      </c>
      <c r="B747" s="33" t="s">
        <v>272</v>
      </c>
      <c r="C747" s="33" t="s">
        <v>273</v>
      </c>
      <c r="D747" s="32">
        <v>32995</v>
      </c>
      <c r="E747" s="58" t="str">
        <f t="shared" si="11"/>
        <v>D</v>
      </c>
    </row>
    <row r="748" spans="1:5" x14ac:dyDescent="0.3">
      <c r="A748" s="54" t="s">
        <v>1344</v>
      </c>
      <c r="B748" s="33" t="s">
        <v>274</v>
      </c>
      <c r="C748" s="33" t="s">
        <v>275</v>
      </c>
      <c r="D748" s="32">
        <v>32995</v>
      </c>
      <c r="E748" s="58" t="str">
        <f t="shared" si="11"/>
        <v>D</v>
      </c>
    </row>
    <row r="749" spans="1:5" x14ac:dyDescent="0.3">
      <c r="A749" s="54" t="s">
        <v>1345</v>
      </c>
      <c r="B749" s="33" t="s">
        <v>276</v>
      </c>
      <c r="C749" s="33" t="s">
        <v>277</v>
      </c>
      <c r="D749" s="32">
        <v>32995</v>
      </c>
      <c r="E749" s="58" t="str">
        <f t="shared" si="11"/>
        <v>D</v>
      </c>
    </row>
    <row r="750" spans="1:5" x14ac:dyDescent="0.3">
      <c r="A750" s="54" t="s">
        <v>1346</v>
      </c>
      <c r="B750" s="33" t="s">
        <v>278</v>
      </c>
      <c r="C750" s="33" t="s">
        <v>279</v>
      </c>
      <c r="D750" s="32">
        <v>32995</v>
      </c>
      <c r="E750" s="58" t="str">
        <f t="shared" si="11"/>
        <v>D</v>
      </c>
    </row>
    <row r="751" spans="1:5" x14ac:dyDescent="0.3">
      <c r="A751" s="54" t="s">
        <v>1347</v>
      </c>
      <c r="B751" s="33" t="s">
        <v>280</v>
      </c>
      <c r="C751" s="33" t="s">
        <v>281</v>
      </c>
      <c r="D751" s="32">
        <v>32995</v>
      </c>
      <c r="E751" s="58" t="str">
        <f t="shared" si="11"/>
        <v>D</v>
      </c>
    </row>
    <row r="752" spans="1:5" x14ac:dyDescent="0.3">
      <c r="A752" s="54" t="s">
        <v>1348</v>
      </c>
      <c r="B752" s="33" t="s">
        <v>282</v>
      </c>
      <c r="C752" s="33" t="s">
        <v>283</v>
      </c>
      <c r="D752" s="32">
        <v>32995</v>
      </c>
      <c r="E752" s="58" t="str">
        <f t="shared" si="11"/>
        <v>D</v>
      </c>
    </row>
    <row r="753" spans="1:5" x14ac:dyDescent="0.3">
      <c r="A753" s="54" t="s">
        <v>1349</v>
      </c>
      <c r="B753" s="33" t="s">
        <v>284</v>
      </c>
      <c r="C753" s="33" t="s">
        <v>285</v>
      </c>
      <c r="D753" s="32">
        <v>32995</v>
      </c>
      <c r="E753" s="58" t="str">
        <f t="shared" si="11"/>
        <v>D</v>
      </c>
    </row>
    <row r="754" spans="1:5" x14ac:dyDescent="0.3">
      <c r="A754" s="54" t="s">
        <v>1350</v>
      </c>
      <c r="B754" s="33" t="s">
        <v>286</v>
      </c>
      <c r="C754" s="33" t="s">
        <v>287</v>
      </c>
      <c r="D754" s="32">
        <v>32995</v>
      </c>
      <c r="E754" s="58" t="str">
        <f t="shared" si="11"/>
        <v>D</v>
      </c>
    </row>
    <row r="755" spans="1:5" x14ac:dyDescent="0.3">
      <c r="A755" s="54" t="s">
        <v>1351</v>
      </c>
      <c r="B755" s="33" t="s">
        <v>288</v>
      </c>
      <c r="C755" s="33" t="s">
        <v>289</v>
      </c>
      <c r="D755" s="32">
        <v>32995</v>
      </c>
      <c r="E755" s="58" t="str">
        <f t="shared" si="11"/>
        <v>D</v>
      </c>
    </row>
    <row r="756" spans="1:5" x14ac:dyDescent="0.3">
      <c r="A756" s="54" t="s">
        <v>1352</v>
      </c>
      <c r="B756" s="33" t="s">
        <v>290</v>
      </c>
      <c r="C756" s="33" t="s">
        <v>291</v>
      </c>
      <c r="D756" s="32">
        <v>32995</v>
      </c>
      <c r="E756" s="58" t="str">
        <f t="shared" si="11"/>
        <v>D</v>
      </c>
    </row>
    <row r="757" spans="1:5" x14ac:dyDescent="0.3">
      <c r="A757" s="54" t="s">
        <v>1353</v>
      </c>
      <c r="B757" s="33" t="s">
        <v>292</v>
      </c>
      <c r="C757" s="33" t="s">
        <v>293</v>
      </c>
      <c r="D757" s="32">
        <v>32995</v>
      </c>
      <c r="E757" s="58" t="str">
        <f t="shared" si="11"/>
        <v>D</v>
      </c>
    </row>
    <row r="758" spans="1:5" x14ac:dyDescent="0.3">
      <c r="A758" s="53" t="s">
        <v>1354</v>
      </c>
      <c r="B758" s="41" t="s">
        <v>294</v>
      </c>
      <c r="C758" s="41" t="s">
        <v>295</v>
      </c>
      <c r="D758" s="48">
        <v>32995</v>
      </c>
      <c r="E758" s="58" t="str">
        <f t="shared" si="11"/>
        <v>D</v>
      </c>
    </row>
    <row r="759" spans="1:5" x14ac:dyDescent="0.3">
      <c r="A759" s="53" t="s">
        <v>1355</v>
      </c>
      <c r="B759" s="41" t="s">
        <v>2320</v>
      </c>
      <c r="C759" s="41" t="s">
        <v>338</v>
      </c>
      <c r="D759" s="48">
        <v>13195</v>
      </c>
      <c r="E759" s="58" t="str">
        <f t="shared" si="11"/>
        <v>C</v>
      </c>
    </row>
    <row r="760" spans="1:5" x14ac:dyDescent="0.3">
      <c r="A760" s="53" t="s">
        <v>1356</v>
      </c>
      <c r="B760" s="41" t="s">
        <v>2321</v>
      </c>
      <c r="C760" s="41" t="s">
        <v>2322</v>
      </c>
      <c r="D760" s="48">
        <v>7695</v>
      </c>
      <c r="E760" s="58" t="str">
        <f t="shared" si="11"/>
        <v>B</v>
      </c>
    </row>
    <row r="761" spans="1:5" x14ac:dyDescent="0.3">
      <c r="A761" s="53" t="s">
        <v>1357</v>
      </c>
      <c r="B761" s="41" t="s">
        <v>359</v>
      </c>
      <c r="C761" s="41" t="s">
        <v>360</v>
      </c>
      <c r="D761" s="48">
        <v>325</v>
      </c>
      <c r="E761" s="58" t="str">
        <f t="shared" si="11"/>
        <v>A</v>
      </c>
    </row>
    <row r="762" spans="1:5" x14ac:dyDescent="0.3">
      <c r="A762" s="53" t="s">
        <v>1358</v>
      </c>
      <c r="B762" s="41" t="s">
        <v>590</v>
      </c>
      <c r="C762" s="41" t="s">
        <v>591</v>
      </c>
      <c r="D762" s="48">
        <v>490</v>
      </c>
      <c r="E762" s="58" t="str">
        <f t="shared" si="11"/>
        <v>A</v>
      </c>
    </row>
    <row r="763" spans="1:5" x14ac:dyDescent="0.3">
      <c r="A763" s="53" t="s">
        <v>1359</v>
      </c>
      <c r="B763" s="41" t="s">
        <v>592</v>
      </c>
      <c r="C763" s="41" t="s">
        <v>593</v>
      </c>
      <c r="D763" s="48">
        <v>490</v>
      </c>
      <c r="E763" s="58" t="str">
        <f t="shared" si="11"/>
        <v>A</v>
      </c>
    </row>
    <row r="764" spans="1:5" x14ac:dyDescent="0.3">
      <c r="A764" s="53" t="s">
        <v>1360</v>
      </c>
      <c r="B764" s="41" t="s">
        <v>173</v>
      </c>
      <c r="C764" s="41" t="s">
        <v>595</v>
      </c>
      <c r="D764" s="48">
        <v>1095</v>
      </c>
      <c r="E764" s="58" t="str">
        <f t="shared" si="11"/>
        <v>B</v>
      </c>
    </row>
    <row r="765" spans="1:5" x14ac:dyDescent="0.3">
      <c r="A765" s="53" t="s">
        <v>1361</v>
      </c>
      <c r="B765" s="41" t="s">
        <v>518</v>
      </c>
      <c r="C765" s="41" t="s">
        <v>595</v>
      </c>
      <c r="D765" s="48">
        <v>4395</v>
      </c>
      <c r="E765" s="58" t="str">
        <f t="shared" si="11"/>
        <v>B</v>
      </c>
    </row>
    <row r="766" spans="1:5" x14ac:dyDescent="0.3">
      <c r="A766" s="53" t="s">
        <v>1362</v>
      </c>
      <c r="B766" s="41" t="s">
        <v>588</v>
      </c>
      <c r="C766" s="41" t="s">
        <v>589</v>
      </c>
      <c r="D766" s="48">
        <v>5495</v>
      </c>
      <c r="E766" s="58" t="str">
        <f t="shared" si="11"/>
        <v>B</v>
      </c>
    </row>
    <row r="767" spans="1:5" x14ac:dyDescent="0.3">
      <c r="A767" s="53" t="s">
        <v>1363</v>
      </c>
      <c r="B767" s="41" t="s">
        <v>1851</v>
      </c>
      <c r="C767" s="41" t="s">
        <v>550</v>
      </c>
      <c r="D767" s="48">
        <v>5495</v>
      </c>
      <c r="E767" s="58" t="str">
        <f t="shared" si="11"/>
        <v>B</v>
      </c>
    </row>
    <row r="768" spans="1:5" x14ac:dyDescent="0.3">
      <c r="A768" s="53" t="s">
        <v>1364</v>
      </c>
      <c r="B768" s="41" t="s">
        <v>1852</v>
      </c>
      <c r="C768" s="41" t="s">
        <v>551</v>
      </c>
      <c r="D768" s="48">
        <v>5495</v>
      </c>
      <c r="E768" s="58" t="str">
        <f t="shared" si="11"/>
        <v>B</v>
      </c>
    </row>
    <row r="769" spans="1:5" x14ac:dyDescent="0.3">
      <c r="A769" s="53" t="s">
        <v>1365</v>
      </c>
      <c r="B769" s="41" t="s">
        <v>1853</v>
      </c>
      <c r="C769" s="41" t="s">
        <v>552</v>
      </c>
      <c r="D769" s="48">
        <v>5495</v>
      </c>
      <c r="E769" s="58" t="str">
        <f t="shared" si="11"/>
        <v>B</v>
      </c>
    </row>
    <row r="770" spans="1:5" x14ac:dyDescent="0.3">
      <c r="A770" s="53" t="s">
        <v>1366</v>
      </c>
      <c r="B770" s="41" t="s">
        <v>1854</v>
      </c>
      <c r="C770" s="41" t="s">
        <v>553</v>
      </c>
      <c r="D770" s="48">
        <v>5495</v>
      </c>
      <c r="E770" s="58" t="str">
        <f t="shared" si="11"/>
        <v>B</v>
      </c>
    </row>
    <row r="771" spans="1:5" x14ac:dyDescent="0.3">
      <c r="A771" s="53" t="s">
        <v>1367</v>
      </c>
      <c r="B771" s="41" t="s">
        <v>1855</v>
      </c>
      <c r="C771" s="41" t="s">
        <v>554</v>
      </c>
      <c r="D771" s="48">
        <v>5495</v>
      </c>
      <c r="E771" s="58" t="str">
        <f t="shared" si="11"/>
        <v>B</v>
      </c>
    </row>
    <row r="772" spans="1:5" x14ac:dyDescent="0.3">
      <c r="A772" s="53" t="s">
        <v>1368</v>
      </c>
      <c r="B772" s="41" t="s">
        <v>1856</v>
      </c>
      <c r="C772" s="41" t="s">
        <v>555</v>
      </c>
      <c r="D772" s="48">
        <v>5495</v>
      </c>
      <c r="E772" s="58" t="str">
        <f t="shared" si="11"/>
        <v>B</v>
      </c>
    </row>
    <row r="773" spans="1:5" x14ac:dyDescent="0.3">
      <c r="A773" s="53" t="s">
        <v>1369</v>
      </c>
      <c r="B773" s="41" t="s">
        <v>1857</v>
      </c>
      <c r="C773" s="41" t="s">
        <v>556</v>
      </c>
      <c r="D773" s="48">
        <v>5495</v>
      </c>
      <c r="E773" s="58" t="str">
        <f t="shared" ref="E773:E836" si="12">VLOOKUP(D773,$G$4:$H$7,2)</f>
        <v>B</v>
      </c>
    </row>
    <row r="774" spans="1:5" x14ac:dyDescent="0.3">
      <c r="A774" s="53" t="s">
        <v>1370</v>
      </c>
      <c r="B774" s="41" t="s">
        <v>1858</v>
      </c>
      <c r="C774" s="41" t="s">
        <v>557</v>
      </c>
      <c r="D774" s="48">
        <v>5495</v>
      </c>
      <c r="E774" s="58" t="str">
        <f t="shared" si="12"/>
        <v>B</v>
      </c>
    </row>
    <row r="775" spans="1:5" x14ac:dyDescent="0.3">
      <c r="A775" s="53" t="s">
        <v>1371</v>
      </c>
      <c r="B775" s="41" t="s">
        <v>2058</v>
      </c>
      <c r="C775" s="41" t="s">
        <v>339</v>
      </c>
      <c r="D775" s="48">
        <v>39595</v>
      </c>
      <c r="E775" s="58" t="str">
        <f t="shared" si="12"/>
        <v>D</v>
      </c>
    </row>
    <row r="776" spans="1:5" x14ac:dyDescent="0.3">
      <c r="A776" s="53" t="s">
        <v>1372</v>
      </c>
      <c r="B776" s="41" t="s">
        <v>2059</v>
      </c>
      <c r="C776" s="41" t="s">
        <v>340</v>
      </c>
      <c r="D776" s="48">
        <v>29695</v>
      </c>
      <c r="E776" s="58" t="str">
        <f t="shared" si="12"/>
        <v>D</v>
      </c>
    </row>
    <row r="777" spans="1:5" x14ac:dyDescent="0.3">
      <c r="A777" s="53" t="s">
        <v>1373</v>
      </c>
      <c r="B777" s="41" t="s">
        <v>2060</v>
      </c>
      <c r="C777" s="41" t="s">
        <v>341</v>
      </c>
      <c r="D777" s="48">
        <v>19795</v>
      </c>
      <c r="E777" s="58" t="str">
        <f t="shared" si="12"/>
        <v>C</v>
      </c>
    </row>
    <row r="778" spans="1:5" x14ac:dyDescent="0.3">
      <c r="A778" s="53" t="s">
        <v>1374</v>
      </c>
      <c r="B778" s="41" t="s">
        <v>2061</v>
      </c>
      <c r="C778" s="41" t="s">
        <v>342</v>
      </c>
      <c r="D778" s="48">
        <v>41795</v>
      </c>
      <c r="E778" s="58" t="str">
        <f t="shared" si="12"/>
        <v>D</v>
      </c>
    </row>
    <row r="779" spans="1:5" x14ac:dyDescent="0.3">
      <c r="A779" s="53" t="s">
        <v>1375</v>
      </c>
      <c r="B779" s="41" t="s">
        <v>2062</v>
      </c>
      <c r="C779" s="41" t="s">
        <v>343</v>
      </c>
      <c r="D779" s="48">
        <v>31345</v>
      </c>
      <c r="E779" s="58" t="str">
        <f t="shared" si="12"/>
        <v>D</v>
      </c>
    </row>
    <row r="780" spans="1:5" x14ac:dyDescent="0.3">
      <c r="A780" s="53" t="s">
        <v>1376</v>
      </c>
      <c r="B780" s="41" t="s">
        <v>2063</v>
      </c>
      <c r="C780" s="41" t="s">
        <v>344</v>
      </c>
      <c r="D780" s="48">
        <v>20895</v>
      </c>
      <c r="E780" s="58" t="str">
        <f t="shared" si="12"/>
        <v>C</v>
      </c>
    </row>
    <row r="781" spans="1:5" x14ac:dyDescent="0.3">
      <c r="A781" s="53" t="s">
        <v>1377</v>
      </c>
      <c r="B781" s="41" t="s">
        <v>2064</v>
      </c>
      <c r="C781" s="41" t="s">
        <v>345</v>
      </c>
      <c r="D781" s="48">
        <v>8795</v>
      </c>
      <c r="E781" s="58" t="str">
        <f t="shared" si="12"/>
        <v>B</v>
      </c>
    </row>
    <row r="782" spans="1:5" x14ac:dyDescent="0.3">
      <c r="A782" s="53" t="s">
        <v>1378</v>
      </c>
      <c r="B782" s="41" t="s">
        <v>2065</v>
      </c>
      <c r="C782" s="41" t="s">
        <v>346</v>
      </c>
      <c r="D782" s="48">
        <v>32995</v>
      </c>
      <c r="E782" s="58" t="str">
        <f t="shared" si="12"/>
        <v>D</v>
      </c>
    </row>
    <row r="783" spans="1:5" x14ac:dyDescent="0.3">
      <c r="A783" s="53" t="s">
        <v>1379</v>
      </c>
      <c r="B783" s="41" t="s">
        <v>2066</v>
      </c>
      <c r="C783" s="41" t="s">
        <v>347</v>
      </c>
      <c r="D783" s="48">
        <v>21995</v>
      </c>
      <c r="E783" s="58" t="str">
        <f t="shared" si="12"/>
        <v>C</v>
      </c>
    </row>
    <row r="784" spans="1:5" x14ac:dyDescent="0.3">
      <c r="A784" s="53" t="s">
        <v>1380</v>
      </c>
      <c r="B784" s="41" t="s">
        <v>2067</v>
      </c>
      <c r="C784" s="41" t="s">
        <v>348</v>
      </c>
      <c r="D784" s="48">
        <v>21995</v>
      </c>
      <c r="E784" s="58" t="str">
        <f t="shared" si="12"/>
        <v>C</v>
      </c>
    </row>
    <row r="785" spans="1:5" x14ac:dyDescent="0.3">
      <c r="A785" s="53" t="s">
        <v>1381</v>
      </c>
      <c r="B785" s="41" t="s">
        <v>2068</v>
      </c>
      <c r="C785" s="41" t="s">
        <v>349</v>
      </c>
      <c r="D785" s="48">
        <v>21995</v>
      </c>
      <c r="E785" s="58" t="str">
        <f t="shared" si="12"/>
        <v>C</v>
      </c>
    </row>
    <row r="786" spans="1:5" x14ac:dyDescent="0.3">
      <c r="A786" s="54" t="s">
        <v>1382</v>
      </c>
      <c r="B786" s="33" t="s">
        <v>2069</v>
      </c>
      <c r="C786" s="33" t="s">
        <v>2069</v>
      </c>
      <c r="D786" s="32">
        <v>148495</v>
      </c>
      <c r="E786" s="58" t="str">
        <f t="shared" si="12"/>
        <v>D</v>
      </c>
    </row>
    <row r="787" spans="1:5" x14ac:dyDescent="0.3">
      <c r="A787" s="54" t="s">
        <v>1383</v>
      </c>
      <c r="B787" s="33" t="s">
        <v>2070</v>
      </c>
      <c r="C787" s="33" t="s">
        <v>2070</v>
      </c>
      <c r="D787" s="32">
        <v>98995</v>
      </c>
      <c r="E787" s="58" t="str">
        <f t="shared" si="12"/>
        <v>D</v>
      </c>
    </row>
    <row r="788" spans="1:5" x14ac:dyDescent="0.3">
      <c r="A788" s="54" t="s">
        <v>1384</v>
      </c>
      <c r="B788" s="33" t="s">
        <v>2071</v>
      </c>
      <c r="C788" s="33" t="s">
        <v>2071</v>
      </c>
      <c r="D788" s="32">
        <v>148495</v>
      </c>
      <c r="E788" s="58" t="str">
        <f t="shared" si="12"/>
        <v>D</v>
      </c>
    </row>
    <row r="789" spans="1:5" x14ac:dyDescent="0.3">
      <c r="A789" s="54" t="s">
        <v>1385</v>
      </c>
      <c r="B789" s="33" t="s">
        <v>2072</v>
      </c>
      <c r="C789" s="33" t="s">
        <v>2072</v>
      </c>
      <c r="D789" s="32">
        <v>98995</v>
      </c>
      <c r="E789" s="58" t="str">
        <f t="shared" si="12"/>
        <v>D</v>
      </c>
    </row>
    <row r="790" spans="1:5" x14ac:dyDescent="0.3">
      <c r="A790" s="54" t="s">
        <v>1386</v>
      </c>
      <c r="B790" s="33" t="s">
        <v>2073</v>
      </c>
      <c r="C790" s="33" t="s">
        <v>2073</v>
      </c>
      <c r="D790" s="32">
        <v>65995</v>
      </c>
      <c r="E790" s="58" t="str">
        <f t="shared" si="12"/>
        <v>D</v>
      </c>
    </row>
    <row r="791" spans="1:5" x14ac:dyDescent="0.3">
      <c r="A791" s="53" t="s">
        <v>1387</v>
      </c>
      <c r="B791" s="41" t="s">
        <v>2074</v>
      </c>
      <c r="C791" s="41" t="s">
        <v>350</v>
      </c>
      <c r="D791" s="48">
        <v>10445</v>
      </c>
      <c r="E791" s="58" t="str">
        <f t="shared" si="12"/>
        <v>C</v>
      </c>
    </row>
    <row r="792" spans="1:5" x14ac:dyDescent="0.3">
      <c r="A792" s="53" t="s">
        <v>1388</v>
      </c>
      <c r="B792" s="41" t="s">
        <v>2075</v>
      </c>
      <c r="C792" s="41" t="s">
        <v>13</v>
      </c>
      <c r="D792" s="48">
        <v>7145</v>
      </c>
      <c r="E792" s="58" t="str">
        <f t="shared" si="12"/>
        <v>B</v>
      </c>
    </row>
    <row r="793" spans="1:5" x14ac:dyDescent="0.3">
      <c r="A793" s="53" t="s">
        <v>1389</v>
      </c>
      <c r="B793" s="41" t="s">
        <v>2076</v>
      </c>
      <c r="C793" s="41" t="s">
        <v>14</v>
      </c>
      <c r="D793" s="48">
        <v>5495</v>
      </c>
      <c r="E793" s="58" t="str">
        <f t="shared" si="12"/>
        <v>B</v>
      </c>
    </row>
    <row r="794" spans="1:5" x14ac:dyDescent="0.3">
      <c r="A794" s="53" t="s">
        <v>1390</v>
      </c>
      <c r="B794" s="41" t="s">
        <v>2077</v>
      </c>
      <c r="C794" s="41" t="s">
        <v>15</v>
      </c>
      <c r="D794" s="48">
        <v>8245</v>
      </c>
      <c r="E794" s="58" t="str">
        <f t="shared" si="12"/>
        <v>B</v>
      </c>
    </row>
    <row r="795" spans="1:5" x14ac:dyDescent="0.3">
      <c r="A795" s="53" t="s">
        <v>1391</v>
      </c>
      <c r="B795" s="41" t="s">
        <v>2078</v>
      </c>
      <c r="C795" s="41" t="s">
        <v>16</v>
      </c>
      <c r="D795" s="48">
        <v>3845</v>
      </c>
      <c r="E795" s="58" t="str">
        <f t="shared" si="12"/>
        <v>B</v>
      </c>
    </row>
    <row r="796" spans="1:5" x14ac:dyDescent="0.3">
      <c r="A796" s="53" t="s">
        <v>1392</v>
      </c>
      <c r="B796" s="41" t="s">
        <v>2079</v>
      </c>
      <c r="C796" s="41" t="s">
        <v>459</v>
      </c>
      <c r="D796" s="48">
        <v>2195</v>
      </c>
      <c r="E796" s="58" t="str">
        <f t="shared" si="12"/>
        <v>B</v>
      </c>
    </row>
    <row r="797" spans="1:5" x14ac:dyDescent="0.3">
      <c r="A797" s="53" t="s">
        <v>1393</v>
      </c>
      <c r="B797" s="41" t="s">
        <v>2080</v>
      </c>
      <c r="C797" s="41" t="s">
        <v>460</v>
      </c>
      <c r="D797" s="48">
        <v>2195</v>
      </c>
      <c r="E797" s="58" t="str">
        <f t="shared" si="12"/>
        <v>B</v>
      </c>
    </row>
    <row r="798" spans="1:5" x14ac:dyDescent="0.3">
      <c r="A798" s="53" t="s">
        <v>1394</v>
      </c>
      <c r="B798" s="41" t="s">
        <v>2081</v>
      </c>
      <c r="C798" s="41" t="s">
        <v>461</v>
      </c>
      <c r="D798" s="48">
        <v>3295</v>
      </c>
      <c r="E798" s="58" t="str">
        <f t="shared" si="12"/>
        <v>B</v>
      </c>
    </row>
    <row r="799" spans="1:5" x14ac:dyDescent="0.3">
      <c r="A799" s="53" t="s">
        <v>1395</v>
      </c>
      <c r="B799" s="41" t="s">
        <v>2082</v>
      </c>
      <c r="C799" s="41" t="s">
        <v>462</v>
      </c>
      <c r="D799" s="48">
        <v>3295</v>
      </c>
      <c r="E799" s="58" t="str">
        <f t="shared" si="12"/>
        <v>B</v>
      </c>
    </row>
    <row r="800" spans="1:5" x14ac:dyDescent="0.3">
      <c r="A800" s="53" t="s">
        <v>1396</v>
      </c>
      <c r="B800" s="41" t="s">
        <v>2083</v>
      </c>
      <c r="C800" s="41" t="s">
        <v>463</v>
      </c>
      <c r="D800" s="48">
        <v>1095</v>
      </c>
      <c r="E800" s="58" t="str">
        <f t="shared" si="12"/>
        <v>B</v>
      </c>
    </row>
    <row r="801" spans="1:5" x14ac:dyDescent="0.3">
      <c r="A801" s="53" t="s">
        <v>1397</v>
      </c>
      <c r="B801" s="41" t="s">
        <v>2084</v>
      </c>
      <c r="C801" s="41" t="s">
        <v>464</v>
      </c>
      <c r="D801" s="48">
        <v>1095</v>
      </c>
      <c r="E801" s="58" t="str">
        <f t="shared" si="12"/>
        <v>B</v>
      </c>
    </row>
    <row r="802" spans="1:5" x14ac:dyDescent="0.3">
      <c r="A802" s="53" t="s">
        <v>1398</v>
      </c>
      <c r="B802" s="41" t="s">
        <v>2085</v>
      </c>
      <c r="C802" s="41" t="s">
        <v>465</v>
      </c>
      <c r="D802" s="48">
        <v>825</v>
      </c>
      <c r="E802" s="58" t="str">
        <f t="shared" si="12"/>
        <v>A</v>
      </c>
    </row>
    <row r="803" spans="1:5" x14ac:dyDescent="0.3">
      <c r="A803" s="53" t="s">
        <v>1399</v>
      </c>
      <c r="B803" s="41" t="s">
        <v>2086</v>
      </c>
      <c r="C803" s="41" t="s">
        <v>466</v>
      </c>
      <c r="D803" s="48">
        <v>545</v>
      </c>
      <c r="E803" s="58" t="str">
        <f t="shared" si="12"/>
        <v>A</v>
      </c>
    </row>
    <row r="804" spans="1:5" x14ac:dyDescent="0.3">
      <c r="A804" s="53" t="s">
        <v>1400</v>
      </c>
      <c r="B804" s="41" t="s">
        <v>2087</v>
      </c>
      <c r="C804" s="41" t="s">
        <v>2088</v>
      </c>
      <c r="D804" s="48">
        <v>198</v>
      </c>
      <c r="E804" s="58" t="str">
        <f t="shared" si="12"/>
        <v>A</v>
      </c>
    </row>
    <row r="805" spans="1:5" x14ac:dyDescent="0.3">
      <c r="A805" s="53" t="s">
        <v>1401</v>
      </c>
      <c r="B805" s="41" t="s">
        <v>2089</v>
      </c>
      <c r="C805" s="41" t="s">
        <v>2090</v>
      </c>
      <c r="D805" s="48">
        <v>198</v>
      </c>
      <c r="E805" s="58" t="str">
        <f t="shared" si="12"/>
        <v>A</v>
      </c>
    </row>
    <row r="806" spans="1:5" x14ac:dyDescent="0.3">
      <c r="A806" s="53" t="s">
        <v>1402</v>
      </c>
      <c r="B806" s="41" t="s">
        <v>2091</v>
      </c>
      <c r="C806" s="41" t="s">
        <v>2092</v>
      </c>
      <c r="D806" s="48">
        <v>198</v>
      </c>
      <c r="E806" s="58" t="str">
        <f t="shared" si="12"/>
        <v>A</v>
      </c>
    </row>
    <row r="807" spans="1:5" x14ac:dyDescent="0.3">
      <c r="A807" s="53" t="s">
        <v>1403</v>
      </c>
      <c r="B807" s="41" t="s">
        <v>2093</v>
      </c>
      <c r="C807" s="41" t="s">
        <v>2094</v>
      </c>
      <c r="D807" s="48">
        <v>198</v>
      </c>
      <c r="E807" s="58" t="str">
        <f t="shared" si="12"/>
        <v>A</v>
      </c>
    </row>
    <row r="808" spans="1:5" x14ac:dyDescent="0.3">
      <c r="A808" s="53" t="s">
        <v>1404</v>
      </c>
      <c r="B808" s="41" t="s">
        <v>2095</v>
      </c>
      <c r="C808" s="41" t="s">
        <v>2096</v>
      </c>
      <c r="D808" s="48">
        <v>198</v>
      </c>
      <c r="E808" s="58" t="str">
        <f t="shared" si="12"/>
        <v>A</v>
      </c>
    </row>
    <row r="809" spans="1:5" x14ac:dyDescent="0.3">
      <c r="A809" s="53" t="s">
        <v>1405</v>
      </c>
      <c r="B809" s="41" t="s">
        <v>2097</v>
      </c>
      <c r="C809" s="41" t="s">
        <v>2098</v>
      </c>
      <c r="D809" s="48">
        <v>198</v>
      </c>
      <c r="E809" s="58" t="str">
        <f t="shared" si="12"/>
        <v>A</v>
      </c>
    </row>
    <row r="810" spans="1:5" x14ac:dyDescent="0.3">
      <c r="A810" s="53" t="s">
        <v>1406</v>
      </c>
      <c r="B810" s="41" t="s">
        <v>2099</v>
      </c>
      <c r="C810" s="41" t="s">
        <v>467</v>
      </c>
      <c r="D810" s="48">
        <v>195</v>
      </c>
      <c r="E810" s="58" t="str">
        <f t="shared" si="12"/>
        <v>A</v>
      </c>
    </row>
    <row r="811" spans="1:5" x14ac:dyDescent="0.3">
      <c r="A811" s="53" t="s">
        <v>1407</v>
      </c>
      <c r="B811" s="41" t="s">
        <v>2100</v>
      </c>
      <c r="C811" s="41" t="s">
        <v>17</v>
      </c>
      <c r="D811" s="48">
        <v>165</v>
      </c>
      <c r="E811" s="58" t="str">
        <f t="shared" si="12"/>
        <v>A</v>
      </c>
    </row>
    <row r="812" spans="1:5" x14ac:dyDescent="0.3">
      <c r="A812" s="53" t="s">
        <v>1408</v>
      </c>
      <c r="B812" s="41" t="s">
        <v>2101</v>
      </c>
      <c r="C812" s="41" t="s">
        <v>18</v>
      </c>
      <c r="D812" s="48">
        <v>135</v>
      </c>
      <c r="E812" s="58" t="str">
        <f t="shared" si="12"/>
        <v>A</v>
      </c>
    </row>
    <row r="813" spans="1:5" x14ac:dyDescent="0.3">
      <c r="A813" s="53" t="s">
        <v>1409</v>
      </c>
      <c r="B813" s="41" t="s">
        <v>317</v>
      </c>
      <c r="C813" s="41" t="s">
        <v>317</v>
      </c>
      <c r="D813" s="48">
        <v>765</v>
      </c>
      <c r="E813" s="58" t="str">
        <f t="shared" si="12"/>
        <v>A</v>
      </c>
    </row>
    <row r="814" spans="1:5" x14ac:dyDescent="0.3">
      <c r="A814" s="53" t="s">
        <v>1410</v>
      </c>
      <c r="B814" s="41" t="s">
        <v>529</v>
      </c>
      <c r="C814" s="41" t="s">
        <v>530</v>
      </c>
      <c r="D814" s="48">
        <v>1370</v>
      </c>
      <c r="E814" s="58" t="str">
        <f t="shared" si="12"/>
        <v>B</v>
      </c>
    </row>
    <row r="815" spans="1:5" x14ac:dyDescent="0.3">
      <c r="A815" s="53" t="s">
        <v>1411</v>
      </c>
      <c r="B815" s="41" t="s">
        <v>531</v>
      </c>
      <c r="C815" s="41" t="s">
        <v>532</v>
      </c>
      <c r="D815" s="48">
        <v>2745</v>
      </c>
      <c r="E815" s="58" t="str">
        <f t="shared" si="12"/>
        <v>B</v>
      </c>
    </row>
    <row r="816" spans="1:5" x14ac:dyDescent="0.3">
      <c r="A816" s="53" t="s">
        <v>1412</v>
      </c>
      <c r="B816" s="41" t="s">
        <v>533</v>
      </c>
      <c r="C816" s="41" t="s">
        <v>534</v>
      </c>
      <c r="D816" s="48">
        <v>10995</v>
      </c>
      <c r="E816" s="58" t="str">
        <f t="shared" si="12"/>
        <v>C</v>
      </c>
    </row>
    <row r="817" spans="1:5" x14ac:dyDescent="0.3">
      <c r="A817" s="53" t="s">
        <v>1413</v>
      </c>
      <c r="B817" s="41" t="s">
        <v>369</v>
      </c>
      <c r="C817" s="41" t="s">
        <v>370</v>
      </c>
      <c r="D817" s="48">
        <v>17595</v>
      </c>
      <c r="E817" s="58" t="str">
        <f t="shared" si="12"/>
        <v>C</v>
      </c>
    </row>
    <row r="818" spans="1:5" x14ac:dyDescent="0.3">
      <c r="A818" s="54" t="s">
        <v>1414</v>
      </c>
      <c r="B818" s="33" t="s">
        <v>471</v>
      </c>
      <c r="C818" s="33" t="s">
        <v>368</v>
      </c>
      <c r="D818" s="48">
        <v>1095</v>
      </c>
      <c r="E818" s="58" t="str">
        <f t="shared" si="12"/>
        <v>B</v>
      </c>
    </row>
    <row r="819" spans="1:5" x14ac:dyDescent="0.3">
      <c r="A819" s="56" t="s">
        <v>1415</v>
      </c>
      <c r="B819" s="50" t="s">
        <v>371</v>
      </c>
      <c r="C819" s="52" t="s">
        <v>372</v>
      </c>
      <c r="D819" s="48">
        <v>21995</v>
      </c>
      <c r="E819" s="58" t="str">
        <f t="shared" si="12"/>
        <v>C</v>
      </c>
    </row>
    <row r="820" spans="1:5" x14ac:dyDescent="0.3">
      <c r="A820" s="56" t="s">
        <v>1416</v>
      </c>
      <c r="B820" s="50" t="s">
        <v>373</v>
      </c>
      <c r="C820" s="33" t="s">
        <v>374</v>
      </c>
      <c r="D820" s="48">
        <v>21995</v>
      </c>
      <c r="E820" s="58" t="str">
        <f t="shared" si="12"/>
        <v>C</v>
      </c>
    </row>
    <row r="821" spans="1:5" x14ac:dyDescent="0.3">
      <c r="A821" s="56" t="s">
        <v>1417</v>
      </c>
      <c r="B821" s="50" t="s">
        <v>375</v>
      </c>
      <c r="C821" s="33" t="s">
        <v>376</v>
      </c>
      <c r="D821" s="48">
        <v>21995</v>
      </c>
      <c r="E821" s="58" t="str">
        <f t="shared" si="12"/>
        <v>C</v>
      </c>
    </row>
    <row r="822" spans="1:5" x14ac:dyDescent="0.3">
      <c r="A822" s="56" t="s">
        <v>1418</v>
      </c>
      <c r="B822" s="50" t="s">
        <v>377</v>
      </c>
      <c r="C822" s="33" t="s">
        <v>378</v>
      </c>
      <c r="D822" s="48">
        <v>21995</v>
      </c>
      <c r="E822" s="58" t="str">
        <f t="shared" si="12"/>
        <v>C</v>
      </c>
    </row>
    <row r="823" spans="1:5" x14ac:dyDescent="0.3">
      <c r="A823" s="56" t="s">
        <v>1419</v>
      </c>
      <c r="B823" s="50" t="s">
        <v>379</v>
      </c>
      <c r="C823" s="33" t="s">
        <v>380</v>
      </c>
      <c r="D823" s="48">
        <v>21995</v>
      </c>
      <c r="E823" s="58" t="str">
        <f t="shared" si="12"/>
        <v>C</v>
      </c>
    </row>
    <row r="824" spans="1:5" x14ac:dyDescent="0.3">
      <c r="A824" s="56" t="s">
        <v>1420</v>
      </c>
      <c r="B824" s="50" t="s">
        <v>381</v>
      </c>
      <c r="C824" s="33" t="s">
        <v>382</v>
      </c>
      <c r="D824" s="48">
        <v>21995</v>
      </c>
      <c r="E824" s="58" t="str">
        <f t="shared" si="12"/>
        <v>C</v>
      </c>
    </row>
    <row r="825" spans="1:5" x14ac:dyDescent="0.3">
      <c r="A825" s="56" t="s">
        <v>1421</v>
      </c>
      <c r="B825" s="50" t="s">
        <v>383</v>
      </c>
      <c r="C825" s="33" t="s">
        <v>384</v>
      </c>
      <c r="D825" s="48">
        <v>21995</v>
      </c>
      <c r="E825" s="58" t="str">
        <f t="shared" si="12"/>
        <v>C</v>
      </c>
    </row>
    <row r="826" spans="1:5" x14ac:dyDescent="0.3">
      <c r="A826" s="56" t="s">
        <v>1422</v>
      </c>
      <c r="B826" s="50" t="s">
        <v>385</v>
      </c>
      <c r="C826" s="33" t="s">
        <v>386</v>
      </c>
      <c r="D826" s="48">
        <v>21995</v>
      </c>
      <c r="E826" s="58" t="str">
        <f t="shared" si="12"/>
        <v>C</v>
      </c>
    </row>
    <row r="827" spans="1:5" x14ac:dyDescent="0.3">
      <c r="A827" s="56" t="s">
        <v>1423</v>
      </c>
      <c r="B827" s="50" t="s">
        <v>387</v>
      </c>
      <c r="C827" s="33" t="s">
        <v>388</v>
      </c>
      <c r="D827" s="48">
        <v>21995</v>
      </c>
      <c r="E827" s="58" t="str">
        <f t="shared" si="12"/>
        <v>C</v>
      </c>
    </row>
    <row r="828" spans="1:5" x14ac:dyDescent="0.3">
      <c r="A828" s="56" t="s">
        <v>1424</v>
      </c>
      <c r="B828" s="50" t="s">
        <v>389</v>
      </c>
      <c r="C828" s="33" t="s">
        <v>390</v>
      </c>
      <c r="D828" s="48">
        <v>21995</v>
      </c>
      <c r="E828" s="58" t="str">
        <f t="shared" si="12"/>
        <v>C</v>
      </c>
    </row>
    <row r="829" spans="1:5" x14ac:dyDescent="0.3">
      <c r="A829" s="56" t="s">
        <v>1425</v>
      </c>
      <c r="B829" s="50" t="s">
        <v>391</v>
      </c>
      <c r="C829" s="33" t="s">
        <v>392</v>
      </c>
      <c r="D829" s="48">
        <v>21995</v>
      </c>
      <c r="E829" s="58" t="str">
        <f t="shared" si="12"/>
        <v>C</v>
      </c>
    </row>
    <row r="830" spans="1:5" x14ac:dyDescent="0.3">
      <c r="A830" s="56" t="s">
        <v>1426</v>
      </c>
      <c r="B830" s="50" t="s">
        <v>393</v>
      </c>
      <c r="C830" s="33" t="s">
        <v>394</v>
      </c>
      <c r="D830" s="48">
        <v>21995</v>
      </c>
      <c r="E830" s="58" t="str">
        <f t="shared" si="12"/>
        <v>C</v>
      </c>
    </row>
    <row r="831" spans="1:5" x14ac:dyDescent="0.3">
      <c r="A831" s="56" t="s">
        <v>1427</v>
      </c>
      <c r="B831" s="50" t="s">
        <v>395</v>
      </c>
      <c r="C831" s="33" t="s">
        <v>396</v>
      </c>
      <c r="D831" s="48">
        <v>21995</v>
      </c>
      <c r="E831" s="58" t="str">
        <f t="shared" si="12"/>
        <v>C</v>
      </c>
    </row>
    <row r="832" spans="1:5" x14ac:dyDescent="0.3">
      <c r="A832" s="56" t="s">
        <v>1428</v>
      </c>
      <c r="B832" s="50" t="s">
        <v>397</v>
      </c>
      <c r="C832" s="33" t="s">
        <v>398</v>
      </c>
      <c r="D832" s="48">
        <v>21995</v>
      </c>
      <c r="E832" s="58" t="str">
        <f t="shared" si="12"/>
        <v>C</v>
      </c>
    </row>
    <row r="833" spans="1:5" x14ac:dyDescent="0.3">
      <c r="A833" s="56" t="s">
        <v>1429</v>
      </c>
      <c r="B833" s="50" t="s">
        <v>399</v>
      </c>
      <c r="C833" s="33" t="s">
        <v>400</v>
      </c>
      <c r="D833" s="48">
        <v>21995</v>
      </c>
      <c r="E833" s="58" t="str">
        <f t="shared" si="12"/>
        <v>C</v>
      </c>
    </row>
    <row r="834" spans="1:5" x14ac:dyDescent="0.3">
      <c r="A834" s="56" t="s">
        <v>1430</v>
      </c>
      <c r="B834" s="50" t="s">
        <v>401</v>
      </c>
      <c r="C834" s="33" t="s">
        <v>402</v>
      </c>
      <c r="D834" s="48">
        <v>21995</v>
      </c>
      <c r="E834" s="58" t="str">
        <f t="shared" si="12"/>
        <v>C</v>
      </c>
    </row>
    <row r="835" spans="1:5" x14ac:dyDescent="0.3">
      <c r="A835" s="56" t="s">
        <v>1431</v>
      </c>
      <c r="B835" s="50" t="s">
        <v>403</v>
      </c>
      <c r="C835" s="33" t="s">
        <v>404</v>
      </c>
      <c r="D835" s="48">
        <v>21995</v>
      </c>
      <c r="E835" s="58" t="str">
        <f t="shared" si="12"/>
        <v>C</v>
      </c>
    </row>
    <row r="836" spans="1:5" x14ac:dyDescent="0.3">
      <c r="A836" s="56" t="s">
        <v>1432</v>
      </c>
      <c r="B836" s="50" t="s">
        <v>405</v>
      </c>
      <c r="C836" s="33" t="s">
        <v>406</v>
      </c>
      <c r="D836" s="48">
        <v>21995</v>
      </c>
      <c r="E836" s="58" t="str">
        <f t="shared" si="12"/>
        <v>C</v>
      </c>
    </row>
    <row r="837" spans="1:5" x14ac:dyDescent="0.3">
      <c r="A837" s="56" t="s">
        <v>1433</v>
      </c>
      <c r="B837" s="50" t="s">
        <v>407</v>
      </c>
      <c r="C837" s="33" t="s">
        <v>408</v>
      </c>
      <c r="D837" s="48">
        <v>21995</v>
      </c>
      <c r="E837" s="58" t="str">
        <f t="shared" ref="E837:E900" si="13">VLOOKUP(D837,$G$4:$H$7,2)</f>
        <v>C</v>
      </c>
    </row>
    <row r="838" spans="1:5" x14ac:dyDescent="0.3">
      <c r="A838" s="56" t="s">
        <v>1434</v>
      </c>
      <c r="B838" s="50" t="s">
        <v>409</v>
      </c>
      <c r="C838" s="33" t="s">
        <v>410</v>
      </c>
      <c r="D838" s="48">
        <v>21995</v>
      </c>
      <c r="E838" s="58" t="str">
        <f t="shared" si="13"/>
        <v>C</v>
      </c>
    </row>
    <row r="839" spans="1:5" x14ac:dyDescent="0.3">
      <c r="A839" s="56" t="s">
        <v>1435</v>
      </c>
      <c r="B839" s="50" t="s">
        <v>411</v>
      </c>
      <c r="C839" s="33" t="s">
        <v>412</v>
      </c>
      <c r="D839" s="48">
        <v>21995</v>
      </c>
      <c r="E839" s="58" t="str">
        <f t="shared" si="13"/>
        <v>C</v>
      </c>
    </row>
    <row r="840" spans="1:5" x14ac:dyDescent="0.3">
      <c r="A840" s="56" t="s">
        <v>1436</v>
      </c>
      <c r="B840" s="50" t="s">
        <v>413</v>
      </c>
      <c r="C840" s="33" t="s">
        <v>414</v>
      </c>
      <c r="D840" s="48">
        <v>21995</v>
      </c>
      <c r="E840" s="58" t="str">
        <f t="shared" si="13"/>
        <v>C</v>
      </c>
    </row>
    <row r="841" spans="1:5" x14ac:dyDescent="0.3">
      <c r="A841" s="56" t="s">
        <v>1437</v>
      </c>
      <c r="B841" s="50" t="s">
        <v>415</v>
      </c>
      <c r="C841" s="33" t="s">
        <v>416</v>
      </c>
      <c r="D841" s="48">
        <v>21995</v>
      </c>
      <c r="E841" s="58" t="str">
        <f t="shared" si="13"/>
        <v>C</v>
      </c>
    </row>
    <row r="842" spans="1:5" x14ac:dyDescent="0.3">
      <c r="A842" s="56" t="s">
        <v>1438</v>
      </c>
      <c r="B842" s="50" t="s">
        <v>417</v>
      </c>
      <c r="C842" s="33" t="s">
        <v>418</v>
      </c>
      <c r="D842" s="48">
        <v>21995</v>
      </c>
      <c r="E842" s="58" t="str">
        <f t="shared" si="13"/>
        <v>C</v>
      </c>
    </row>
    <row r="843" spans="1:5" x14ac:dyDescent="0.3">
      <c r="A843" s="56" t="s">
        <v>1439</v>
      </c>
      <c r="B843" s="50" t="s">
        <v>419</v>
      </c>
      <c r="C843" s="33" t="s">
        <v>420</v>
      </c>
      <c r="D843" s="48">
        <v>21995</v>
      </c>
      <c r="E843" s="58" t="str">
        <f t="shared" si="13"/>
        <v>C</v>
      </c>
    </row>
    <row r="844" spans="1:5" x14ac:dyDescent="0.3">
      <c r="A844" s="56" t="s">
        <v>1440</v>
      </c>
      <c r="B844" s="50" t="s">
        <v>421</v>
      </c>
      <c r="C844" s="33" t="s">
        <v>422</v>
      </c>
      <c r="D844" s="48">
        <v>21995</v>
      </c>
      <c r="E844" s="58" t="str">
        <f t="shared" si="13"/>
        <v>C</v>
      </c>
    </row>
    <row r="845" spans="1:5" x14ac:dyDescent="0.3">
      <c r="A845" s="56" t="s">
        <v>1441</v>
      </c>
      <c r="B845" s="50" t="s">
        <v>423</v>
      </c>
      <c r="C845" s="33" t="s">
        <v>424</v>
      </c>
      <c r="D845" s="48">
        <v>21995</v>
      </c>
      <c r="E845" s="58" t="str">
        <f t="shared" si="13"/>
        <v>C</v>
      </c>
    </row>
    <row r="846" spans="1:5" x14ac:dyDescent="0.3">
      <c r="A846" s="56" t="s">
        <v>1442</v>
      </c>
      <c r="B846" s="50" t="s">
        <v>425</v>
      </c>
      <c r="C846" s="33" t="s">
        <v>426</v>
      </c>
      <c r="D846" s="48">
        <v>21995</v>
      </c>
      <c r="E846" s="58" t="str">
        <f t="shared" si="13"/>
        <v>C</v>
      </c>
    </row>
    <row r="847" spans="1:5" x14ac:dyDescent="0.3">
      <c r="A847" s="56" t="s">
        <v>1443</v>
      </c>
      <c r="B847" s="50" t="s">
        <v>427</v>
      </c>
      <c r="C847" s="33" t="s">
        <v>428</v>
      </c>
      <c r="D847" s="48">
        <v>21995</v>
      </c>
      <c r="E847" s="58" t="str">
        <f t="shared" si="13"/>
        <v>C</v>
      </c>
    </row>
    <row r="848" spans="1:5" x14ac:dyDescent="0.3">
      <c r="A848" s="56" t="s">
        <v>1444</v>
      </c>
      <c r="B848" s="50" t="s">
        <v>429</v>
      </c>
      <c r="C848" s="33" t="s">
        <v>430</v>
      </c>
      <c r="D848" s="48">
        <v>21995</v>
      </c>
      <c r="E848" s="58" t="str">
        <f t="shared" si="13"/>
        <v>C</v>
      </c>
    </row>
    <row r="849" spans="1:5" x14ac:dyDescent="0.3">
      <c r="A849" s="56" t="s">
        <v>1445</v>
      </c>
      <c r="B849" s="50" t="s">
        <v>431</v>
      </c>
      <c r="C849" s="33" t="s">
        <v>432</v>
      </c>
      <c r="D849" s="48">
        <v>21995</v>
      </c>
      <c r="E849" s="58" t="str">
        <f t="shared" si="13"/>
        <v>C</v>
      </c>
    </row>
    <row r="850" spans="1:5" x14ac:dyDescent="0.3">
      <c r="A850" s="56" t="s">
        <v>1446</v>
      </c>
      <c r="B850" s="50" t="s">
        <v>433</v>
      </c>
      <c r="C850" s="33" t="s">
        <v>434</v>
      </c>
      <c r="D850" s="48">
        <v>21995</v>
      </c>
      <c r="E850" s="58" t="str">
        <f t="shared" si="13"/>
        <v>C</v>
      </c>
    </row>
    <row r="851" spans="1:5" x14ac:dyDescent="0.3">
      <c r="A851" s="56" t="s">
        <v>1447</v>
      </c>
      <c r="B851" s="50" t="s">
        <v>435</v>
      </c>
      <c r="C851" s="33" t="s">
        <v>436</v>
      </c>
      <c r="D851" s="48">
        <v>21995</v>
      </c>
      <c r="E851" s="58" t="str">
        <f t="shared" si="13"/>
        <v>C</v>
      </c>
    </row>
    <row r="852" spans="1:5" x14ac:dyDescent="0.3">
      <c r="A852" s="56" t="s">
        <v>1448</v>
      </c>
      <c r="B852" s="50" t="s">
        <v>437</v>
      </c>
      <c r="C852" s="33" t="s">
        <v>438</v>
      </c>
      <c r="D852" s="48">
        <v>21995</v>
      </c>
      <c r="E852" s="58" t="str">
        <f t="shared" si="13"/>
        <v>C</v>
      </c>
    </row>
    <row r="853" spans="1:5" x14ac:dyDescent="0.3">
      <c r="A853" s="56" t="s">
        <v>1449</v>
      </c>
      <c r="B853" s="50" t="s">
        <v>439</v>
      </c>
      <c r="C853" s="33" t="s">
        <v>440</v>
      </c>
      <c r="D853" s="48">
        <v>21995</v>
      </c>
      <c r="E853" s="58" t="str">
        <f t="shared" si="13"/>
        <v>C</v>
      </c>
    </row>
    <row r="854" spans="1:5" x14ac:dyDescent="0.3">
      <c r="A854" s="56" t="s">
        <v>1450</v>
      </c>
      <c r="B854" s="50" t="s">
        <v>441</v>
      </c>
      <c r="C854" s="33" t="s">
        <v>442</v>
      </c>
      <c r="D854" s="48">
        <v>21995</v>
      </c>
      <c r="E854" s="58" t="str">
        <f t="shared" si="13"/>
        <v>C</v>
      </c>
    </row>
    <row r="855" spans="1:5" x14ac:dyDescent="0.3">
      <c r="A855" s="56" t="s">
        <v>1451</v>
      </c>
      <c r="B855" s="50" t="s">
        <v>443</v>
      </c>
      <c r="C855" s="33" t="s">
        <v>444</v>
      </c>
      <c r="D855" s="48">
        <v>21995</v>
      </c>
      <c r="E855" s="58" t="str">
        <f t="shared" si="13"/>
        <v>C</v>
      </c>
    </row>
    <row r="856" spans="1:5" x14ac:dyDescent="0.3">
      <c r="A856" s="56" t="s">
        <v>1452</v>
      </c>
      <c r="B856" s="50" t="s">
        <v>445</v>
      </c>
      <c r="C856" s="33" t="s">
        <v>446</v>
      </c>
      <c r="D856" s="48">
        <v>21995</v>
      </c>
      <c r="E856" s="58" t="str">
        <f t="shared" si="13"/>
        <v>C</v>
      </c>
    </row>
    <row r="857" spans="1:5" x14ac:dyDescent="0.3">
      <c r="A857" s="56" t="s">
        <v>1453</v>
      </c>
      <c r="B857" s="50" t="s">
        <v>447</v>
      </c>
      <c r="C857" s="33" t="s">
        <v>448</v>
      </c>
      <c r="D857" s="48">
        <v>21995</v>
      </c>
      <c r="E857" s="58" t="str">
        <f t="shared" si="13"/>
        <v>C</v>
      </c>
    </row>
    <row r="858" spans="1:5" x14ac:dyDescent="0.3">
      <c r="A858" s="56" t="s">
        <v>1454</v>
      </c>
      <c r="B858" s="50" t="s">
        <v>449</v>
      </c>
      <c r="C858" s="33" t="s">
        <v>450</v>
      </c>
      <c r="D858" s="48">
        <v>21995</v>
      </c>
      <c r="E858" s="58" t="str">
        <f t="shared" si="13"/>
        <v>C</v>
      </c>
    </row>
    <row r="859" spans="1:5" x14ac:dyDescent="0.3">
      <c r="A859" s="53" t="s">
        <v>1455</v>
      </c>
      <c r="B859" s="41" t="s">
        <v>359</v>
      </c>
      <c r="C859" s="41" t="s">
        <v>360</v>
      </c>
      <c r="D859" s="48">
        <v>325</v>
      </c>
      <c r="E859" s="58" t="str">
        <f t="shared" si="13"/>
        <v>A</v>
      </c>
    </row>
    <row r="860" spans="1:5" x14ac:dyDescent="0.3">
      <c r="A860" s="53" t="s">
        <v>1456</v>
      </c>
      <c r="B860" s="41" t="s">
        <v>590</v>
      </c>
      <c r="C860" s="41" t="s">
        <v>591</v>
      </c>
      <c r="D860" s="48">
        <v>490</v>
      </c>
      <c r="E860" s="58" t="str">
        <f t="shared" si="13"/>
        <v>A</v>
      </c>
    </row>
    <row r="861" spans="1:5" x14ac:dyDescent="0.3">
      <c r="A861" s="53" t="s">
        <v>1457</v>
      </c>
      <c r="B861" s="41" t="s">
        <v>592</v>
      </c>
      <c r="C861" s="41" t="s">
        <v>593</v>
      </c>
      <c r="D861" s="48">
        <v>490</v>
      </c>
      <c r="E861" s="58" t="str">
        <f t="shared" si="13"/>
        <v>A</v>
      </c>
    </row>
    <row r="862" spans="1:5" x14ac:dyDescent="0.3">
      <c r="A862" s="53" t="s">
        <v>1458</v>
      </c>
      <c r="B862" s="41" t="s">
        <v>173</v>
      </c>
      <c r="C862" s="41" t="s">
        <v>595</v>
      </c>
      <c r="D862" s="48">
        <v>1095</v>
      </c>
      <c r="E862" s="58" t="str">
        <f t="shared" si="13"/>
        <v>B</v>
      </c>
    </row>
    <row r="863" spans="1:5" x14ac:dyDescent="0.3">
      <c r="A863" s="53" t="s">
        <v>1459</v>
      </c>
      <c r="B863" s="41" t="s">
        <v>518</v>
      </c>
      <c r="C863" s="41" t="s">
        <v>595</v>
      </c>
      <c r="D863" s="48">
        <v>4395</v>
      </c>
      <c r="E863" s="58" t="str">
        <f t="shared" si="13"/>
        <v>B</v>
      </c>
    </row>
    <row r="864" spans="1:5" x14ac:dyDescent="0.3">
      <c r="A864" s="53" t="s">
        <v>1460</v>
      </c>
      <c r="B864" s="41" t="s">
        <v>588</v>
      </c>
      <c r="C864" s="41" t="s">
        <v>589</v>
      </c>
      <c r="D864" s="48">
        <v>5495</v>
      </c>
      <c r="E864" s="58" t="str">
        <f t="shared" si="13"/>
        <v>B</v>
      </c>
    </row>
    <row r="865" spans="1:5" x14ac:dyDescent="0.3">
      <c r="A865" s="53" t="s">
        <v>1461</v>
      </c>
      <c r="B865" s="41" t="s">
        <v>1851</v>
      </c>
      <c r="C865" s="41" t="s">
        <v>550</v>
      </c>
      <c r="D865" s="48">
        <v>5495</v>
      </c>
      <c r="E865" s="58" t="str">
        <f t="shared" si="13"/>
        <v>B</v>
      </c>
    </row>
    <row r="866" spans="1:5" x14ac:dyDescent="0.3">
      <c r="A866" s="53" t="s">
        <v>1462</v>
      </c>
      <c r="B866" s="41" t="s">
        <v>1852</v>
      </c>
      <c r="C866" s="41" t="s">
        <v>551</v>
      </c>
      <c r="D866" s="48">
        <v>5495</v>
      </c>
      <c r="E866" s="58" t="str">
        <f t="shared" si="13"/>
        <v>B</v>
      </c>
    </row>
    <row r="867" spans="1:5" x14ac:dyDescent="0.3">
      <c r="A867" s="53" t="s">
        <v>1463</v>
      </c>
      <c r="B867" s="41" t="s">
        <v>1853</v>
      </c>
      <c r="C867" s="41" t="s">
        <v>552</v>
      </c>
      <c r="D867" s="48">
        <v>5495</v>
      </c>
      <c r="E867" s="58" t="str">
        <f t="shared" si="13"/>
        <v>B</v>
      </c>
    </row>
    <row r="868" spans="1:5" x14ac:dyDescent="0.3">
      <c r="A868" s="53" t="s">
        <v>1464</v>
      </c>
      <c r="B868" s="41" t="s">
        <v>1854</v>
      </c>
      <c r="C868" s="41" t="s">
        <v>553</v>
      </c>
      <c r="D868" s="48">
        <v>5495</v>
      </c>
      <c r="E868" s="58" t="str">
        <f t="shared" si="13"/>
        <v>B</v>
      </c>
    </row>
    <row r="869" spans="1:5" x14ac:dyDescent="0.3">
      <c r="A869" s="53" t="s">
        <v>1465</v>
      </c>
      <c r="B869" s="41" t="s">
        <v>1855</v>
      </c>
      <c r="C869" s="41" t="s">
        <v>554</v>
      </c>
      <c r="D869" s="48">
        <v>5495</v>
      </c>
      <c r="E869" s="58" t="str">
        <f t="shared" si="13"/>
        <v>B</v>
      </c>
    </row>
    <row r="870" spans="1:5" x14ac:dyDescent="0.3">
      <c r="A870" s="53" t="s">
        <v>1466</v>
      </c>
      <c r="B870" s="41" t="s">
        <v>1856</v>
      </c>
      <c r="C870" s="41" t="s">
        <v>555</v>
      </c>
      <c r="D870" s="48">
        <v>5495</v>
      </c>
      <c r="E870" s="58" t="str">
        <f t="shared" si="13"/>
        <v>B</v>
      </c>
    </row>
    <row r="871" spans="1:5" x14ac:dyDescent="0.3">
      <c r="A871" s="53" t="s">
        <v>1467</v>
      </c>
      <c r="B871" s="41" t="s">
        <v>1857</v>
      </c>
      <c r="C871" s="41" t="s">
        <v>556</v>
      </c>
      <c r="D871" s="48">
        <v>5495</v>
      </c>
      <c r="E871" s="58" t="str">
        <f t="shared" si="13"/>
        <v>B</v>
      </c>
    </row>
    <row r="872" spans="1:5" x14ac:dyDescent="0.3">
      <c r="A872" s="53" t="s">
        <v>1468</v>
      </c>
      <c r="B872" s="41" t="s">
        <v>1858</v>
      </c>
      <c r="C872" s="41" t="s">
        <v>557</v>
      </c>
      <c r="D872" s="48">
        <v>5495</v>
      </c>
      <c r="E872" s="58" t="str">
        <f t="shared" si="13"/>
        <v>B</v>
      </c>
    </row>
    <row r="873" spans="1:5" x14ac:dyDescent="0.3">
      <c r="A873" s="53" t="s">
        <v>1469</v>
      </c>
      <c r="B873" s="41" t="s">
        <v>363</v>
      </c>
      <c r="C873" s="41" t="s">
        <v>364</v>
      </c>
      <c r="D873" s="48">
        <v>1315</v>
      </c>
      <c r="E873" s="58" t="str">
        <f t="shared" si="13"/>
        <v>B</v>
      </c>
    </row>
    <row r="874" spans="1:5" x14ac:dyDescent="0.3">
      <c r="A874" s="53" t="s">
        <v>1470</v>
      </c>
      <c r="B874" s="41" t="s">
        <v>365</v>
      </c>
      <c r="C874" s="41" t="s">
        <v>366</v>
      </c>
      <c r="D874" s="48">
        <v>1315</v>
      </c>
      <c r="E874" s="58" t="str">
        <f t="shared" si="13"/>
        <v>B</v>
      </c>
    </row>
    <row r="875" spans="1:5" x14ac:dyDescent="0.3">
      <c r="A875" s="53" t="s">
        <v>1471</v>
      </c>
      <c r="B875" s="41" t="s">
        <v>361</v>
      </c>
      <c r="C875" s="41" t="s">
        <v>362</v>
      </c>
      <c r="D875" s="48">
        <v>655</v>
      </c>
      <c r="E875" s="58" t="str">
        <f t="shared" si="13"/>
        <v>A</v>
      </c>
    </row>
    <row r="876" spans="1:5" x14ac:dyDescent="0.3">
      <c r="A876" s="53" t="s">
        <v>1472</v>
      </c>
      <c r="B876" s="41" t="s">
        <v>355</v>
      </c>
      <c r="C876" s="41" t="s">
        <v>356</v>
      </c>
      <c r="D876" s="48">
        <v>435</v>
      </c>
      <c r="E876" s="58" t="str">
        <f t="shared" si="13"/>
        <v>A</v>
      </c>
    </row>
    <row r="877" spans="1:5" x14ac:dyDescent="0.3">
      <c r="A877" s="53" t="s">
        <v>1473</v>
      </c>
      <c r="B877" s="41" t="s">
        <v>357</v>
      </c>
      <c r="C877" s="41" t="s">
        <v>358</v>
      </c>
      <c r="D877" s="48">
        <v>435</v>
      </c>
      <c r="E877" s="58" t="str">
        <f t="shared" si="13"/>
        <v>A</v>
      </c>
    </row>
    <row r="878" spans="1:5" x14ac:dyDescent="0.3">
      <c r="A878" s="53" t="s">
        <v>1474</v>
      </c>
      <c r="B878" s="41" t="s">
        <v>351</v>
      </c>
      <c r="C878" s="41" t="s">
        <v>352</v>
      </c>
      <c r="D878" s="48">
        <v>185</v>
      </c>
      <c r="E878" s="58" t="str">
        <f t="shared" si="13"/>
        <v>A</v>
      </c>
    </row>
    <row r="879" spans="1:5" x14ac:dyDescent="0.3">
      <c r="A879" s="54" t="s">
        <v>1475</v>
      </c>
      <c r="B879" s="33" t="s">
        <v>509</v>
      </c>
      <c r="C879" s="33" t="s">
        <v>509</v>
      </c>
      <c r="D879" s="32">
        <v>4395</v>
      </c>
      <c r="E879" s="58" t="str">
        <f t="shared" si="13"/>
        <v>B</v>
      </c>
    </row>
    <row r="880" spans="1:5" x14ac:dyDescent="0.3">
      <c r="A880" s="54" t="s">
        <v>1476</v>
      </c>
      <c r="B880" s="33" t="s">
        <v>510</v>
      </c>
      <c r="C880" s="33" t="s">
        <v>510</v>
      </c>
      <c r="D880" s="32">
        <v>10995</v>
      </c>
      <c r="E880" s="58" t="str">
        <f t="shared" si="13"/>
        <v>C</v>
      </c>
    </row>
    <row r="881" spans="1:5" x14ac:dyDescent="0.3">
      <c r="A881" s="54" t="s">
        <v>1477</v>
      </c>
      <c r="B881" s="33" t="s">
        <v>511</v>
      </c>
      <c r="C881" s="33" t="s">
        <v>511</v>
      </c>
      <c r="D881" s="32">
        <v>2745</v>
      </c>
      <c r="E881" s="58" t="str">
        <f t="shared" si="13"/>
        <v>B</v>
      </c>
    </row>
    <row r="882" spans="1:5" x14ac:dyDescent="0.3">
      <c r="A882" s="54" t="s">
        <v>1478</v>
      </c>
      <c r="B882" s="33" t="s">
        <v>512</v>
      </c>
      <c r="C882" s="33" t="s">
        <v>512</v>
      </c>
      <c r="D882" s="32">
        <v>3295</v>
      </c>
      <c r="E882" s="58" t="str">
        <f t="shared" si="13"/>
        <v>B</v>
      </c>
    </row>
    <row r="883" spans="1:5" x14ac:dyDescent="0.3">
      <c r="A883" s="54" t="s">
        <v>1479</v>
      </c>
      <c r="B883" s="33" t="s">
        <v>513</v>
      </c>
      <c r="C883" s="33" t="s">
        <v>513</v>
      </c>
      <c r="D883" s="32">
        <v>4295</v>
      </c>
      <c r="E883" s="58" t="str">
        <f t="shared" si="13"/>
        <v>B</v>
      </c>
    </row>
    <row r="884" spans="1:5" x14ac:dyDescent="0.3">
      <c r="A884" s="54" t="s">
        <v>1480</v>
      </c>
      <c r="B884" s="33" t="s">
        <v>514</v>
      </c>
      <c r="C884" s="33" t="s">
        <v>514</v>
      </c>
      <c r="D884" s="32">
        <v>6045</v>
      </c>
      <c r="E884" s="58" t="str">
        <f t="shared" si="13"/>
        <v>B</v>
      </c>
    </row>
    <row r="885" spans="1:5" x14ac:dyDescent="0.3">
      <c r="A885" s="54" t="s">
        <v>1481</v>
      </c>
      <c r="B885" s="33" t="s">
        <v>515</v>
      </c>
      <c r="C885" s="33" t="s">
        <v>515</v>
      </c>
      <c r="D885" s="32">
        <v>1995</v>
      </c>
      <c r="E885" s="58" t="str">
        <f t="shared" si="13"/>
        <v>B</v>
      </c>
    </row>
    <row r="886" spans="1:5" x14ac:dyDescent="0.3">
      <c r="A886" s="54" t="s">
        <v>1482</v>
      </c>
      <c r="B886" s="33" t="s">
        <v>516</v>
      </c>
      <c r="C886" s="33" t="s">
        <v>516</v>
      </c>
      <c r="D886" s="32">
        <v>2395</v>
      </c>
      <c r="E886" s="58" t="str">
        <f t="shared" si="13"/>
        <v>B</v>
      </c>
    </row>
    <row r="887" spans="1:5" x14ac:dyDescent="0.3">
      <c r="A887" s="54" t="s">
        <v>1483</v>
      </c>
      <c r="B887" s="33" t="s">
        <v>517</v>
      </c>
      <c r="C887" s="33" t="s">
        <v>517</v>
      </c>
      <c r="D887" s="32">
        <v>2845</v>
      </c>
      <c r="E887" s="58" t="str">
        <f t="shared" si="13"/>
        <v>B</v>
      </c>
    </row>
    <row r="888" spans="1:5" x14ac:dyDescent="0.3">
      <c r="A888" s="54" t="s">
        <v>1484</v>
      </c>
      <c r="B888" s="33" t="s">
        <v>500</v>
      </c>
      <c r="C888" s="33" t="s">
        <v>353</v>
      </c>
      <c r="D888" s="32">
        <v>325</v>
      </c>
      <c r="E888" s="58" t="str">
        <f t="shared" si="13"/>
        <v>A</v>
      </c>
    </row>
    <row r="889" spans="1:5" x14ac:dyDescent="0.3">
      <c r="A889" s="53" t="s">
        <v>1485</v>
      </c>
      <c r="B889" s="41" t="s">
        <v>2102</v>
      </c>
      <c r="C889" s="41" t="s">
        <v>19</v>
      </c>
      <c r="D889" s="48">
        <v>39045</v>
      </c>
      <c r="E889" s="58" t="str">
        <f t="shared" si="13"/>
        <v>D</v>
      </c>
    </row>
    <row r="890" spans="1:5" x14ac:dyDescent="0.3">
      <c r="A890" s="53" t="s">
        <v>1486</v>
      </c>
      <c r="B890" s="41" t="s">
        <v>2103</v>
      </c>
      <c r="C890" s="41" t="s">
        <v>20</v>
      </c>
      <c r="D890" s="48">
        <v>29145</v>
      </c>
      <c r="E890" s="58" t="str">
        <f t="shared" si="13"/>
        <v>D</v>
      </c>
    </row>
    <row r="891" spans="1:5" x14ac:dyDescent="0.3">
      <c r="A891" s="53" t="s">
        <v>1487</v>
      </c>
      <c r="B891" s="41" t="s">
        <v>2104</v>
      </c>
      <c r="C891" s="41" t="s">
        <v>21</v>
      </c>
      <c r="D891" s="48">
        <v>19245</v>
      </c>
      <c r="E891" s="58" t="str">
        <f t="shared" si="13"/>
        <v>C</v>
      </c>
    </row>
    <row r="892" spans="1:5" x14ac:dyDescent="0.3">
      <c r="A892" s="53" t="s">
        <v>1488</v>
      </c>
      <c r="B892" s="41" t="s">
        <v>2105</v>
      </c>
      <c r="C892" s="41" t="s">
        <v>22</v>
      </c>
      <c r="D892" s="48">
        <v>41245</v>
      </c>
      <c r="E892" s="58" t="str">
        <f t="shared" si="13"/>
        <v>D</v>
      </c>
    </row>
    <row r="893" spans="1:5" x14ac:dyDescent="0.3">
      <c r="A893" s="53" t="s">
        <v>1489</v>
      </c>
      <c r="B893" s="41" t="s">
        <v>2106</v>
      </c>
      <c r="C893" s="41" t="s">
        <v>23</v>
      </c>
      <c r="D893" s="48">
        <v>30795</v>
      </c>
      <c r="E893" s="58" t="str">
        <f t="shared" si="13"/>
        <v>D</v>
      </c>
    </row>
    <row r="894" spans="1:5" x14ac:dyDescent="0.3">
      <c r="A894" s="53" t="s">
        <v>1490</v>
      </c>
      <c r="B894" s="41" t="s">
        <v>2107</v>
      </c>
      <c r="C894" s="41" t="s">
        <v>24</v>
      </c>
      <c r="D894" s="48">
        <v>20345</v>
      </c>
      <c r="E894" s="58" t="str">
        <f t="shared" si="13"/>
        <v>C</v>
      </c>
    </row>
    <row r="895" spans="1:5" x14ac:dyDescent="0.3">
      <c r="A895" s="53" t="s">
        <v>1491</v>
      </c>
      <c r="B895" s="41" t="s">
        <v>2108</v>
      </c>
      <c r="C895" s="41" t="s">
        <v>25</v>
      </c>
      <c r="D895" s="48">
        <v>8245</v>
      </c>
      <c r="E895" s="58" t="str">
        <f t="shared" si="13"/>
        <v>B</v>
      </c>
    </row>
    <row r="896" spans="1:5" x14ac:dyDescent="0.3">
      <c r="A896" s="53" t="s">
        <v>1492</v>
      </c>
      <c r="B896" s="41" t="s">
        <v>2109</v>
      </c>
      <c r="C896" s="41" t="s">
        <v>26</v>
      </c>
      <c r="D896" s="48">
        <v>21995</v>
      </c>
      <c r="E896" s="58" t="str">
        <f t="shared" si="13"/>
        <v>C</v>
      </c>
    </row>
    <row r="897" spans="1:5" x14ac:dyDescent="0.3">
      <c r="A897" s="53" t="s">
        <v>1493</v>
      </c>
      <c r="B897" s="41" t="s">
        <v>2110</v>
      </c>
      <c r="C897" s="41" t="s">
        <v>27</v>
      </c>
      <c r="D897" s="48">
        <v>13195</v>
      </c>
      <c r="E897" s="58" t="str">
        <f t="shared" si="13"/>
        <v>C</v>
      </c>
    </row>
    <row r="898" spans="1:5" x14ac:dyDescent="0.3">
      <c r="A898" s="53" t="s">
        <v>1494</v>
      </c>
      <c r="B898" s="41" t="s">
        <v>2111</v>
      </c>
      <c r="C898" s="41" t="s">
        <v>28</v>
      </c>
      <c r="D898" s="48">
        <v>13195</v>
      </c>
      <c r="E898" s="58" t="str">
        <f t="shared" si="13"/>
        <v>C</v>
      </c>
    </row>
    <row r="899" spans="1:5" x14ac:dyDescent="0.3">
      <c r="A899" s="53" t="s">
        <v>1495</v>
      </c>
      <c r="B899" s="41" t="s">
        <v>2112</v>
      </c>
      <c r="C899" s="41" t="s">
        <v>29</v>
      </c>
      <c r="D899" s="48">
        <v>13195</v>
      </c>
      <c r="E899" s="58" t="str">
        <f t="shared" si="13"/>
        <v>C</v>
      </c>
    </row>
    <row r="900" spans="1:5" x14ac:dyDescent="0.3">
      <c r="A900" s="54" t="s">
        <v>1496</v>
      </c>
      <c r="B900" s="33" t="s">
        <v>2069</v>
      </c>
      <c r="C900" s="33" t="s">
        <v>2069</v>
      </c>
      <c r="D900" s="32">
        <v>148495</v>
      </c>
      <c r="E900" s="58" t="str">
        <f t="shared" si="13"/>
        <v>D</v>
      </c>
    </row>
    <row r="901" spans="1:5" x14ac:dyDescent="0.3">
      <c r="A901" s="54" t="s">
        <v>1497</v>
      </c>
      <c r="B901" s="33" t="s">
        <v>2070</v>
      </c>
      <c r="C901" s="33" t="s">
        <v>2070</v>
      </c>
      <c r="D901" s="32">
        <v>98995</v>
      </c>
      <c r="E901" s="58" t="str">
        <f t="shared" ref="E901:E964" si="14">VLOOKUP(D901,$G$4:$H$7,2)</f>
        <v>D</v>
      </c>
    </row>
    <row r="902" spans="1:5" x14ac:dyDescent="0.3">
      <c r="A902" s="54" t="s">
        <v>1498</v>
      </c>
      <c r="B902" s="33" t="s">
        <v>2071</v>
      </c>
      <c r="C902" s="33" t="s">
        <v>2071</v>
      </c>
      <c r="D902" s="32">
        <v>148495</v>
      </c>
      <c r="E902" s="58" t="str">
        <f t="shared" si="14"/>
        <v>D</v>
      </c>
    </row>
    <row r="903" spans="1:5" x14ac:dyDescent="0.3">
      <c r="A903" s="54" t="s">
        <v>1499</v>
      </c>
      <c r="B903" s="33" t="s">
        <v>2072</v>
      </c>
      <c r="C903" s="33" t="s">
        <v>2072</v>
      </c>
      <c r="D903" s="32">
        <v>98995</v>
      </c>
      <c r="E903" s="58" t="str">
        <f t="shared" si="14"/>
        <v>D</v>
      </c>
    </row>
    <row r="904" spans="1:5" x14ac:dyDescent="0.3">
      <c r="A904" s="54" t="s">
        <v>1500</v>
      </c>
      <c r="B904" s="33" t="s">
        <v>2073</v>
      </c>
      <c r="C904" s="33" t="s">
        <v>2073</v>
      </c>
      <c r="D904" s="32">
        <v>65995</v>
      </c>
      <c r="E904" s="58" t="str">
        <f t="shared" si="14"/>
        <v>D</v>
      </c>
    </row>
    <row r="905" spans="1:5" x14ac:dyDescent="0.3">
      <c r="A905" s="53" t="s">
        <v>1501</v>
      </c>
      <c r="B905" s="41" t="s">
        <v>2113</v>
      </c>
      <c r="C905" s="41" t="s">
        <v>30</v>
      </c>
      <c r="D905" s="48">
        <v>10445</v>
      </c>
      <c r="E905" s="58" t="str">
        <f t="shared" si="14"/>
        <v>C</v>
      </c>
    </row>
    <row r="906" spans="1:5" x14ac:dyDescent="0.3">
      <c r="A906" s="53" t="s">
        <v>1502</v>
      </c>
      <c r="B906" s="41" t="s">
        <v>2114</v>
      </c>
      <c r="C906" s="41" t="s">
        <v>31</v>
      </c>
      <c r="D906" s="48">
        <v>7145</v>
      </c>
      <c r="E906" s="58" t="str">
        <f t="shared" si="14"/>
        <v>B</v>
      </c>
    </row>
    <row r="907" spans="1:5" x14ac:dyDescent="0.3">
      <c r="A907" s="53" t="s">
        <v>1503</v>
      </c>
      <c r="B907" s="41" t="s">
        <v>2115</v>
      </c>
      <c r="C907" s="41" t="s">
        <v>32</v>
      </c>
      <c r="D907" s="48">
        <v>5495</v>
      </c>
      <c r="E907" s="58" t="str">
        <f t="shared" si="14"/>
        <v>B</v>
      </c>
    </row>
    <row r="908" spans="1:5" x14ac:dyDescent="0.3">
      <c r="A908" s="53" t="s">
        <v>1504</v>
      </c>
      <c r="B908" s="41" t="s">
        <v>2077</v>
      </c>
      <c r="C908" s="41" t="s">
        <v>15</v>
      </c>
      <c r="D908" s="48">
        <v>8245</v>
      </c>
      <c r="E908" s="58" t="str">
        <f t="shared" si="14"/>
        <v>B</v>
      </c>
    </row>
    <row r="909" spans="1:5" x14ac:dyDescent="0.3">
      <c r="A909" s="53" t="s">
        <v>1505</v>
      </c>
      <c r="B909" s="41" t="s">
        <v>2078</v>
      </c>
      <c r="C909" s="41" t="s">
        <v>16</v>
      </c>
      <c r="D909" s="48">
        <v>3845</v>
      </c>
      <c r="E909" s="58" t="str">
        <f t="shared" si="14"/>
        <v>B</v>
      </c>
    </row>
    <row r="910" spans="1:5" x14ac:dyDescent="0.3">
      <c r="A910" s="53" t="s">
        <v>1506</v>
      </c>
      <c r="B910" s="41" t="s">
        <v>2079</v>
      </c>
      <c r="C910" s="41" t="s">
        <v>459</v>
      </c>
      <c r="D910" s="48">
        <v>2195</v>
      </c>
      <c r="E910" s="58" t="str">
        <f t="shared" si="14"/>
        <v>B</v>
      </c>
    </row>
    <row r="911" spans="1:5" x14ac:dyDescent="0.3">
      <c r="A911" s="53" t="s">
        <v>1507</v>
      </c>
      <c r="B911" s="41" t="s">
        <v>2080</v>
      </c>
      <c r="C911" s="41" t="s">
        <v>460</v>
      </c>
      <c r="D911" s="48">
        <v>2195</v>
      </c>
      <c r="E911" s="58" t="str">
        <f t="shared" si="14"/>
        <v>B</v>
      </c>
    </row>
    <row r="912" spans="1:5" x14ac:dyDescent="0.3">
      <c r="A912" s="53" t="s">
        <v>1508</v>
      </c>
      <c r="B912" s="41" t="s">
        <v>2081</v>
      </c>
      <c r="C912" s="41" t="s">
        <v>461</v>
      </c>
      <c r="D912" s="48">
        <v>3295</v>
      </c>
      <c r="E912" s="58" t="str">
        <f t="shared" si="14"/>
        <v>B</v>
      </c>
    </row>
    <row r="913" spans="1:5" x14ac:dyDescent="0.3">
      <c r="A913" s="53" t="s">
        <v>1509</v>
      </c>
      <c r="B913" s="41" t="s">
        <v>2082</v>
      </c>
      <c r="C913" s="41" t="s">
        <v>462</v>
      </c>
      <c r="D913" s="48">
        <v>3295</v>
      </c>
      <c r="E913" s="58" t="str">
        <f t="shared" si="14"/>
        <v>B</v>
      </c>
    </row>
    <row r="914" spans="1:5" x14ac:dyDescent="0.3">
      <c r="A914" s="53" t="s">
        <v>1510</v>
      </c>
      <c r="B914" s="41" t="s">
        <v>2083</v>
      </c>
      <c r="C914" s="41" t="s">
        <v>463</v>
      </c>
      <c r="D914" s="48">
        <v>1095</v>
      </c>
      <c r="E914" s="58" t="str">
        <f t="shared" si="14"/>
        <v>B</v>
      </c>
    </row>
    <row r="915" spans="1:5" x14ac:dyDescent="0.3">
      <c r="A915" s="53" t="s">
        <v>1511</v>
      </c>
      <c r="B915" s="41" t="s">
        <v>2084</v>
      </c>
      <c r="C915" s="41" t="s">
        <v>464</v>
      </c>
      <c r="D915" s="48">
        <v>1095</v>
      </c>
      <c r="E915" s="58" t="str">
        <f t="shared" si="14"/>
        <v>B</v>
      </c>
    </row>
    <row r="916" spans="1:5" x14ac:dyDescent="0.3">
      <c r="A916" s="53" t="s">
        <v>1512</v>
      </c>
      <c r="B916" s="41" t="s">
        <v>2085</v>
      </c>
      <c r="C916" s="41" t="s">
        <v>465</v>
      </c>
      <c r="D916" s="48">
        <v>825</v>
      </c>
      <c r="E916" s="58" t="str">
        <f t="shared" si="14"/>
        <v>A</v>
      </c>
    </row>
    <row r="917" spans="1:5" x14ac:dyDescent="0.3">
      <c r="A917" s="53" t="s">
        <v>1513</v>
      </c>
      <c r="B917" s="41" t="s">
        <v>2086</v>
      </c>
      <c r="C917" s="41" t="s">
        <v>466</v>
      </c>
      <c r="D917" s="48">
        <v>545</v>
      </c>
      <c r="E917" s="58" t="str">
        <f t="shared" si="14"/>
        <v>A</v>
      </c>
    </row>
    <row r="918" spans="1:5" x14ac:dyDescent="0.3">
      <c r="A918" s="53" t="s">
        <v>1514</v>
      </c>
      <c r="B918" s="41" t="s">
        <v>2087</v>
      </c>
      <c r="C918" s="41" t="s">
        <v>2088</v>
      </c>
      <c r="D918" s="48">
        <v>198</v>
      </c>
      <c r="E918" s="58" t="str">
        <f t="shared" si="14"/>
        <v>A</v>
      </c>
    </row>
    <row r="919" spans="1:5" x14ac:dyDescent="0.3">
      <c r="A919" s="53" t="s">
        <v>1515</v>
      </c>
      <c r="B919" s="41" t="s">
        <v>2089</v>
      </c>
      <c r="C919" s="41" t="s">
        <v>2090</v>
      </c>
      <c r="D919" s="48">
        <v>198</v>
      </c>
      <c r="E919" s="58" t="str">
        <f t="shared" si="14"/>
        <v>A</v>
      </c>
    </row>
    <row r="920" spans="1:5" x14ac:dyDescent="0.3">
      <c r="A920" s="53" t="s">
        <v>1516</v>
      </c>
      <c r="B920" s="41" t="s">
        <v>2091</v>
      </c>
      <c r="C920" s="41" t="s">
        <v>2092</v>
      </c>
      <c r="D920" s="48">
        <v>198</v>
      </c>
      <c r="E920" s="58" t="str">
        <f t="shared" si="14"/>
        <v>A</v>
      </c>
    </row>
    <row r="921" spans="1:5" x14ac:dyDescent="0.3">
      <c r="A921" s="53" t="s">
        <v>1517</v>
      </c>
      <c r="B921" s="41" t="s">
        <v>2093</v>
      </c>
      <c r="C921" s="41" t="s">
        <v>2094</v>
      </c>
      <c r="D921" s="48">
        <v>198</v>
      </c>
      <c r="E921" s="58" t="str">
        <f t="shared" si="14"/>
        <v>A</v>
      </c>
    </row>
    <row r="922" spans="1:5" x14ac:dyDescent="0.3">
      <c r="A922" s="53" t="s">
        <v>1518</v>
      </c>
      <c r="B922" s="41" t="s">
        <v>2095</v>
      </c>
      <c r="C922" s="41" t="s">
        <v>2096</v>
      </c>
      <c r="D922" s="48">
        <v>198</v>
      </c>
      <c r="E922" s="58" t="str">
        <f t="shared" si="14"/>
        <v>A</v>
      </c>
    </row>
    <row r="923" spans="1:5" x14ac:dyDescent="0.3">
      <c r="A923" s="53" t="s">
        <v>1519</v>
      </c>
      <c r="B923" s="41" t="s">
        <v>2097</v>
      </c>
      <c r="C923" s="41" t="s">
        <v>2098</v>
      </c>
      <c r="D923" s="48">
        <v>198</v>
      </c>
      <c r="E923" s="58" t="str">
        <f t="shared" si="14"/>
        <v>A</v>
      </c>
    </row>
    <row r="924" spans="1:5" x14ac:dyDescent="0.3">
      <c r="A924" s="53" t="s">
        <v>1520</v>
      </c>
      <c r="B924" s="41" t="s">
        <v>2099</v>
      </c>
      <c r="C924" s="41" t="s">
        <v>467</v>
      </c>
      <c r="D924" s="48">
        <v>195</v>
      </c>
      <c r="E924" s="58" t="str">
        <f t="shared" si="14"/>
        <v>A</v>
      </c>
    </row>
    <row r="925" spans="1:5" x14ac:dyDescent="0.3">
      <c r="A925" s="53" t="s">
        <v>1521</v>
      </c>
      <c r="B925" s="41" t="s">
        <v>2100</v>
      </c>
      <c r="C925" s="41" t="s">
        <v>17</v>
      </c>
      <c r="D925" s="48">
        <v>165</v>
      </c>
      <c r="E925" s="58" t="str">
        <f t="shared" si="14"/>
        <v>A</v>
      </c>
    </row>
    <row r="926" spans="1:5" x14ac:dyDescent="0.3">
      <c r="A926" s="53" t="s">
        <v>1522</v>
      </c>
      <c r="B926" s="41" t="s">
        <v>2101</v>
      </c>
      <c r="C926" s="41" t="s">
        <v>18</v>
      </c>
      <c r="D926" s="48">
        <v>135</v>
      </c>
      <c r="E926" s="58" t="str">
        <f t="shared" si="14"/>
        <v>A</v>
      </c>
    </row>
    <row r="927" spans="1:5" x14ac:dyDescent="0.3">
      <c r="A927" s="53" t="s">
        <v>1523</v>
      </c>
      <c r="B927" s="41" t="s">
        <v>317</v>
      </c>
      <c r="C927" s="41" t="s">
        <v>317</v>
      </c>
      <c r="D927" s="48">
        <v>765</v>
      </c>
      <c r="E927" s="58" t="str">
        <f t="shared" si="14"/>
        <v>A</v>
      </c>
    </row>
    <row r="928" spans="1:5" x14ac:dyDescent="0.3">
      <c r="A928" s="53" t="s">
        <v>1524</v>
      </c>
      <c r="B928" s="41" t="s">
        <v>529</v>
      </c>
      <c r="C928" s="41" t="s">
        <v>530</v>
      </c>
      <c r="D928" s="48">
        <v>1370</v>
      </c>
      <c r="E928" s="58" t="str">
        <f t="shared" si="14"/>
        <v>B</v>
      </c>
    </row>
    <row r="929" spans="1:5" x14ac:dyDescent="0.3">
      <c r="A929" s="53" t="s">
        <v>1525</v>
      </c>
      <c r="B929" s="41" t="s">
        <v>531</v>
      </c>
      <c r="C929" s="41" t="s">
        <v>532</v>
      </c>
      <c r="D929" s="48">
        <v>2745</v>
      </c>
      <c r="E929" s="58" t="str">
        <f t="shared" si="14"/>
        <v>B</v>
      </c>
    </row>
    <row r="930" spans="1:5" x14ac:dyDescent="0.3">
      <c r="A930" s="53" t="s">
        <v>1526</v>
      </c>
      <c r="B930" s="41" t="s">
        <v>533</v>
      </c>
      <c r="C930" s="41" t="s">
        <v>534</v>
      </c>
      <c r="D930" s="48">
        <v>10995</v>
      </c>
      <c r="E930" s="58" t="str">
        <f t="shared" si="14"/>
        <v>C</v>
      </c>
    </row>
    <row r="931" spans="1:5" x14ac:dyDescent="0.3">
      <c r="A931" s="53" t="s">
        <v>1527</v>
      </c>
      <c r="B931" s="41" t="s">
        <v>369</v>
      </c>
      <c r="C931" s="41" t="s">
        <v>370</v>
      </c>
      <c r="D931" s="48">
        <v>17595</v>
      </c>
      <c r="E931" s="58" t="str">
        <f t="shared" si="14"/>
        <v>C</v>
      </c>
    </row>
    <row r="932" spans="1:5" x14ac:dyDescent="0.3">
      <c r="A932" s="54" t="s">
        <v>1528</v>
      </c>
      <c r="B932" s="33" t="s">
        <v>471</v>
      </c>
      <c r="C932" s="33" t="s">
        <v>368</v>
      </c>
      <c r="D932" s="48">
        <v>1095</v>
      </c>
      <c r="E932" s="58" t="str">
        <f t="shared" si="14"/>
        <v>B</v>
      </c>
    </row>
    <row r="933" spans="1:5" x14ac:dyDescent="0.3">
      <c r="A933" s="56" t="s">
        <v>1529</v>
      </c>
      <c r="B933" s="50" t="s">
        <v>371</v>
      </c>
      <c r="C933" s="52" t="s">
        <v>372</v>
      </c>
      <c r="D933" s="48">
        <v>21995</v>
      </c>
      <c r="E933" s="58" t="str">
        <f t="shared" si="14"/>
        <v>C</v>
      </c>
    </row>
    <row r="934" spans="1:5" x14ac:dyDescent="0.3">
      <c r="A934" s="56" t="s">
        <v>1530</v>
      </c>
      <c r="B934" s="50" t="s">
        <v>373</v>
      </c>
      <c r="C934" s="33" t="s">
        <v>374</v>
      </c>
      <c r="D934" s="48">
        <v>21995</v>
      </c>
      <c r="E934" s="58" t="str">
        <f t="shared" si="14"/>
        <v>C</v>
      </c>
    </row>
    <row r="935" spans="1:5" x14ac:dyDescent="0.3">
      <c r="A935" s="56" t="s">
        <v>1531</v>
      </c>
      <c r="B935" s="50" t="s">
        <v>375</v>
      </c>
      <c r="C935" s="33" t="s">
        <v>376</v>
      </c>
      <c r="D935" s="48">
        <v>21995</v>
      </c>
      <c r="E935" s="58" t="str">
        <f t="shared" si="14"/>
        <v>C</v>
      </c>
    </row>
    <row r="936" spans="1:5" x14ac:dyDescent="0.3">
      <c r="A936" s="56" t="s">
        <v>1532</v>
      </c>
      <c r="B936" s="50" t="s">
        <v>377</v>
      </c>
      <c r="C936" s="33" t="s">
        <v>378</v>
      </c>
      <c r="D936" s="48">
        <v>21995</v>
      </c>
      <c r="E936" s="58" t="str">
        <f t="shared" si="14"/>
        <v>C</v>
      </c>
    </row>
    <row r="937" spans="1:5" x14ac:dyDescent="0.3">
      <c r="A937" s="56" t="s">
        <v>1533</v>
      </c>
      <c r="B937" s="50" t="s">
        <v>379</v>
      </c>
      <c r="C937" s="33" t="s">
        <v>380</v>
      </c>
      <c r="D937" s="48">
        <v>21995</v>
      </c>
      <c r="E937" s="58" t="str">
        <f t="shared" si="14"/>
        <v>C</v>
      </c>
    </row>
    <row r="938" spans="1:5" x14ac:dyDescent="0.3">
      <c r="A938" s="56" t="s">
        <v>1534</v>
      </c>
      <c r="B938" s="50" t="s">
        <v>381</v>
      </c>
      <c r="C938" s="33" t="s">
        <v>382</v>
      </c>
      <c r="D938" s="48">
        <v>21995</v>
      </c>
      <c r="E938" s="58" t="str">
        <f t="shared" si="14"/>
        <v>C</v>
      </c>
    </row>
    <row r="939" spans="1:5" x14ac:dyDescent="0.3">
      <c r="A939" s="56" t="s">
        <v>1535</v>
      </c>
      <c r="B939" s="50" t="s">
        <v>383</v>
      </c>
      <c r="C939" s="33" t="s">
        <v>384</v>
      </c>
      <c r="D939" s="48">
        <v>21995</v>
      </c>
      <c r="E939" s="58" t="str">
        <f t="shared" si="14"/>
        <v>C</v>
      </c>
    </row>
    <row r="940" spans="1:5" x14ac:dyDescent="0.3">
      <c r="A940" s="56" t="s">
        <v>1536</v>
      </c>
      <c r="B940" s="50" t="s">
        <v>385</v>
      </c>
      <c r="C940" s="33" t="s">
        <v>386</v>
      </c>
      <c r="D940" s="48">
        <v>21995</v>
      </c>
      <c r="E940" s="58" t="str">
        <f t="shared" si="14"/>
        <v>C</v>
      </c>
    </row>
    <row r="941" spans="1:5" x14ac:dyDescent="0.3">
      <c r="A941" s="56" t="s">
        <v>1537</v>
      </c>
      <c r="B941" s="50" t="s">
        <v>387</v>
      </c>
      <c r="C941" s="33" t="s">
        <v>388</v>
      </c>
      <c r="D941" s="48">
        <v>21995</v>
      </c>
      <c r="E941" s="58" t="str">
        <f t="shared" si="14"/>
        <v>C</v>
      </c>
    </row>
    <row r="942" spans="1:5" x14ac:dyDescent="0.3">
      <c r="A942" s="56" t="s">
        <v>1538</v>
      </c>
      <c r="B942" s="50" t="s">
        <v>389</v>
      </c>
      <c r="C942" s="33" t="s">
        <v>390</v>
      </c>
      <c r="D942" s="48">
        <v>21995</v>
      </c>
      <c r="E942" s="58" t="str">
        <f t="shared" si="14"/>
        <v>C</v>
      </c>
    </row>
    <row r="943" spans="1:5" x14ac:dyDescent="0.3">
      <c r="A943" s="56" t="s">
        <v>1539</v>
      </c>
      <c r="B943" s="50" t="s">
        <v>391</v>
      </c>
      <c r="C943" s="33" t="s">
        <v>392</v>
      </c>
      <c r="D943" s="48">
        <v>21995</v>
      </c>
      <c r="E943" s="58" t="str">
        <f t="shared" si="14"/>
        <v>C</v>
      </c>
    </row>
    <row r="944" spans="1:5" x14ac:dyDescent="0.3">
      <c r="A944" s="56" t="s">
        <v>1540</v>
      </c>
      <c r="B944" s="50" t="s">
        <v>393</v>
      </c>
      <c r="C944" s="33" t="s">
        <v>394</v>
      </c>
      <c r="D944" s="48">
        <v>21995</v>
      </c>
      <c r="E944" s="58" t="str">
        <f t="shared" si="14"/>
        <v>C</v>
      </c>
    </row>
    <row r="945" spans="1:5" x14ac:dyDescent="0.3">
      <c r="A945" s="56" t="s">
        <v>1541</v>
      </c>
      <c r="B945" s="50" t="s">
        <v>395</v>
      </c>
      <c r="C945" s="33" t="s">
        <v>396</v>
      </c>
      <c r="D945" s="48">
        <v>21995</v>
      </c>
      <c r="E945" s="58" t="str">
        <f t="shared" si="14"/>
        <v>C</v>
      </c>
    </row>
    <row r="946" spans="1:5" x14ac:dyDescent="0.3">
      <c r="A946" s="56" t="s">
        <v>1542</v>
      </c>
      <c r="B946" s="50" t="s">
        <v>397</v>
      </c>
      <c r="C946" s="33" t="s">
        <v>398</v>
      </c>
      <c r="D946" s="48">
        <v>21995</v>
      </c>
      <c r="E946" s="58" t="str">
        <f t="shared" si="14"/>
        <v>C</v>
      </c>
    </row>
    <row r="947" spans="1:5" x14ac:dyDescent="0.3">
      <c r="A947" s="56" t="s">
        <v>1543</v>
      </c>
      <c r="B947" s="50" t="s">
        <v>399</v>
      </c>
      <c r="C947" s="33" t="s">
        <v>400</v>
      </c>
      <c r="D947" s="48">
        <v>21995</v>
      </c>
      <c r="E947" s="58" t="str">
        <f t="shared" si="14"/>
        <v>C</v>
      </c>
    </row>
    <row r="948" spans="1:5" x14ac:dyDescent="0.3">
      <c r="A948" s="56" t="s">
        <v>1544</v>
      </c>
      <c r="B948" s="50" t="s">
        <v>401</v>
      </c>
      <c r="C948" s="33" t="s">
        <v>402</v>
      </c>
      <c r="D948" s="48">
        <v>21995</v>
      </c>
      <c r="E948" s="58" t="str">
        <f t="shared" si="14"/>
        <v>C</v>
      </c>
    </row>
    <row r="949" spans="1:5" x14ac:dyDescent="0.3">
      <c r="A949" s="56" t="s">
        <v>1545</v>
      </c>
      <c r="B949" s="50" t="s">
        <v>403</v>
      </c>
      <c r="C949" s="33" t="s">
        <v>404</v>
      </c>
      <c r="D949" s="48">
        <v>21995</v>
      </c>
      <c r="E949" s="58" t="str">
        <f t="shared" si="14"/>
        <v>C</v>
      </c>
    </row>
    <row r="950" spans="1:5" x14ac:dyDescent="0.3">
      <c r="A950" s="56" t="s">
        <v>1546</v>
      </c>
      <c r="B950" s="50" t="s">
        <v>405</v>
      </c>
      <c r="C950" s="33" t="s">
        <v>406</v>
      </c>
      <c r="D950" s="48">
        <v>21995</v>
      </c>
      <c r="E950" s="58" t="str">
        <f t="shared" si="14"/>
        <v>C</v>
      </c>
    </row>
    <row r="951" spans="1:5" x14ac:dyDescent="0.3">
      <c r="A951" s="56" t="s">
        <v>1547</v>
      </c>
      <c r="B951" s="50" t="s">
        <v>407</v>
      </c>
      <c r="C951" s="33" t="s">
        <v>408</v>
      </c>
      <c r="D951" s="48">
        <v>21995</v>
      </c>
      <c r="E951" s="58" t="str">
        <f t="shared" si="14"/>
        <v>C</v>
      </c>
    </row>
    <row r="952" spans="1:5" x14ac:dyDescent="0.3">
      <c r="A952" s="56" t="s">
        <v>1548</v>
      </c>
      <c r="B952" s="50" t="s">
        <v>409</v>
      </c>
      <c r="C952" s="33" t="s">
        <v>410</v>
      </c>
      <c r="D952" s="48">
        <v>21995</v>
      </c>
      <c r="E952" s="58" t="str">
        <f t="shared" si="14"/>
        <v>C</v>
      </c>
    </row>
    <row r="953" spans="1:5" x14ac:dyDescent="0.3">
      <c r="A953" s="56" t="s">
        <v>1549</v>
      </c>
      <c r="B953" s="50" t="s">
        <v>411</v>
      </c>
      <c r="C953" s="33" t="s">
        <v>412</v>
      </c>
      <c r="D953" s="48">
        <v>21995</v>
      </c>
      <c r="E953" s="58" t="str">
        <f t="shared" si="14"/>
        <v>C</v>
      </c>
    </row>
    <row r="954" spans="1:5" x14ac:dyDescent="0.3">
      <c r="A954" s="56" t="s">
        <v>1550</v>
      </c>
      <c r="B954" s="50" t="s">
        <v>413</v>
      </c>
      <c r="C954" s="33" t="s">
        <v>414</v>
      </c>
      <c r="D954" s="48">
        <v>21995</v>
      </c>
      <c r="E954" s="58" t="str">
        <f t="shared" si="14"/>
        <v>C</v>
      </c>
    </row>
    <row r="955" spans="1:5" x14ac:dyDescent="0.3">
      <c r="A955" s="56" t="s">
        <v>1551</v>
      </c>
      <c r="B955" s="50" t="s">
        <v>415</v>
      </c>
      <c r="C955" s="33" t="s">
        <v>416</v>
      </c>
      <c r="D955" s="48">
        <v>21995</v>
      </c>
      <c r="E955" s="58" t="str">
        <f t="shared" si="14"/>
        <v>C</v>
      </c>
    </row>
    <row r="956" spans="1:5" x14ac:dyDescent="0.3">
      <c r="A956" s="56" t="s">
        <v>1552</v>
      </c>
      <c r="B956" s="50" t="s">
        <v>417</v>
      </c>
      <c r="C956" s="33" t="s">
        <v>418</v>
      </c>
      <c r="D956" s="48">
        <v>21995</v>
      </c>
      <c r="E956" s="58" t="str">
        <f t="shared" si="14"/>
        <v>C</v>
      </c>
    </row>
    <row r="957" spans="1:5" x14ac:dyDescent="0.3">
      <c r="A957" s="56" t="s">
        <v>1553</v>
      </c>
      <c r="B957" s="50" t="s">
        <v>419</v>
      </c>
      <c r="C957" s="33" t="s">
        <v>420</v>
      </c>
      <c r="D957" s="48">
        <v>21995</v>
      </c>
      <c r="E957" s="58" t="str">
        <f t="shared" si="14"/>
        <v>C</v>
      </c>
    </row>
    <row r="958" spans="1:5" x14ac:dyDescent="0.3">
      <c r="A958" s="56" t="s">
        <v>1554</v>
      </c>
      <c r="B958" s="50" t="s">
        <v>421</v>
      </c>
      <c r="C958" s="33" t="s">
        <v>422</v>
      </c>
      <c r="D958" s="48">
        <v>21995</v>
      </c>
      <c r="E958" s="58" t="str">
        <f t="shared" si="14"/>
        <v>C</v>
      </c>
    </row>
    <row r="959" spans="1:5" x14ac:dyDescent="0.3">
      <c r="A959" s="56" t="s">
        <v>1555</v>
      </c>
      <c r="B959" s="50" t="s">
        <v>423</v>
      </c>
      <c r="C959" s="33" t="s">
        <v>424</v>
      </c>
      <c r="D959" s="48">
        <v>21995</v>
      </c>
      <c r="E959" s="58" t="str">
        <f t="shared" si="14"/>
        <v>C</v>
      </c>
    </row>
    <row r="960" spans="1:5" x14ac:dyDescent="0.3">
      <c r="A960" s="56" t="s">
        <v>1556</v>
      </c>
      <c r="B960" s="50" t="s">
        <v>425</v>
      </c>
      <c r="C960" s="33" t="s">
        <v>426</v>
      </c>
      <c r="D960" s="48">
        <v>21995</v>
      </c>
      <c r="E960" s="58" t="str">
        <f t="shared" si="14"/>
        <v>C</v>
      </c>
    </row>
    <row r="961" spans="1:5" x14ac:dyDescent="0.3">
      <c r="A961" s="56" t="s">
        <v>1557</v>
      </c>
      <c r="B961" s="50" t="s">
        <v>427</v>
      </c>
      <c r="C961" s="33" t="s">
        <v>428</v>
      </c>
      <c r="D961" s="48">
        <v>21995</v>
      </c>
      <c r="E961" s="58" t="str">
        <f t="shared" si="14"/>
        <v>C</v>
      </c>
    </row>
    <row r="962" spans="1:5" x14ac:dyDescent="0.3">
      <c r="A962" s="56" t="s">
        <v>1558</v>
      </c>
      <c r="B962" s="50" t="s">
        <v>429</v>
      </c>
      <c r="C962" s="33" t="s">
        <v>430</v>
      </c>
      <c r="D962" s="48">
        <v>21995</v>
      </c>
      <c r="E962" s="58" t="str">
        <f t="shared" si="14"/>
        <v>C</v>
      </c>
    </row>
    <row r="963" spans="1:5" x14ac:dyDescent="0.3">
      <c r="A963" s="56" t="s">
        <v>1559</v>
      </c>
      <c r="B963" s="50" t="s">
        <v>431</v>
      </c>
      <c r="C963" s="33" t="s">
        <v>432</v>
      </c>
      <c r="D963" s="48">
        <v>21995</v>
      </c>
      <c r="E963" s="58" t="str">
        <f t="shared" si="14"/>
        <v>C</v>
      </c>
    </row>
    <row r="964" spans="1:5" x14ac:dyDescent="0.3">
      <c r="A964" s="56" t="s">
        <v>1560</v>
      </c>
      <c r="B964" s="50" t="s">
        <v>433</v>
      </c>
      <c r="C964" s="33" t="s">
        <v>434</v>
      </c>
      <c r="D964" s="48">
        <v>21995</v>
      </c>
      <c r="E964" s="58" t="str">
        <f t="shared" si="14"/>
        <v>C</v>
      </c>
    </row>
    <row r="965" spans="1:5" x14ac:dyDescent="0.3">
      <c r="A965" s="56" t="s">
        <v>1561</v>
      </c>
      <c r="B965" s="50" t="s">
        <v>435</v>
      </c>
      <c r="C965" s="33" t="s">
        <v>436</v>
      </c>
      <c r="D965" s="48">
        <v>21995</v>
      </c>
      <c r="E965" s="58" t="str">
        <f t="shared" ref="E965:E1028" si="15">VLOOKUP(D965,$G$4:$H$7,2)</f>
        <v>C</v>
      </c>
    </row>
    <row r="966" spans="1:5" x14ac:dyDescent="0.3">
      <c r="A966" s="56" t="s">
        <v>1562</v>
      </c>
      <c r="B966" s="50" t="s">
        <v>437</v>
      </c>
      <c r="C966" s="33" t="s">
        <v>438</v>
      </c>
      <c r="D966" s="48">
        <v>21995</v>
      </c>
      <c r="E966" s="58" t="str">
        <f t="shared" si="15"/>
        <v>C</v>
      </c>
    </row>
    <row r="967" spans="1:5" x14ac:dyDescent="0.3">
      <c r="A967" s="56" t="s">
        <v>1563</v>
      </c>
      <c r="B967" s="50" t="s">
        <v>439</v>
      </c>
      <c r="C967" s="33" t="s">
        <v>440</v>
      </c>
      <c r="D967" s="48">
        <v>21995</v>
      </c>
      <c r="E967" s="58" t="str">
        <f t="shared" si="15"/>
        <v>C</v>
      </c>
    </row>
    <row r="968" spans="1:5" x14ac:dyDescent="0.3">
      <c r="A968" s="56" t="s">
        <v>1564</v>
      </c>
      <c r="B968" s="50" t="s">
        <v>441</v>
      </c>
      <c r="C968" s="33" t="s">
        <v>442</v>
      </c>
      <c r="D968" s="48">
        <v>21995</v>
      </c>
      <c r="E968" s="58" t="str">
        <f t="shared" si="15"/>
        <v>C</v>
      </c>
    </row>
    <row r="969" spans="1:5" x14ac:dyDescent="0.3">
      <c r="A969" s="56" t="s">
        <v>1565</v>
      </c>
      <c r="B969" s="50" t="s">
        <v>443</v>
      </c>
      <c r="C969" s="33" t="s">
        <v>444</v>
      </c>
      <c r="D969" s="48">
        <v>21995</v>
      </c>
      <c r="E969" s="58" t="str">
        <f t="shared" si="15"/>
        <v>C</v>
      </c>
    </row>
    <row r="970" spans="1:5" x14ac:dyDescent="0.3">
      <c r="A970" s="56" t="s">
        <v>1566</v>
      </c>
      <c r="B970" s="50" t="s">
        <v>445</v>
      </c>
      <c r="C970" s="33" t="s">
        <v>446</v>
      </c>
      <c r="D970" s="48">
        <v>21995</v>
      </c>
      <c r="E970" s="58" t="str">
        <f t="shared" si="15"/>
        <v>C</v>
      </c>
    </row>
    <row r="971" spans="1:5" x14ac:dyDescent="0.3">
      <c r="A971" s="56" t="s">
        <v>1567</v>
      </c>
      <c r="B971" s="50" t="s">
        <v>447</v>
      </c>
      <c r="C971" s="33" t="s">
        <v>448</v>
      </c>
      <c r="D971" s="48">
        <v>21995</v>
      </c>
      <c r="E971" s="58" t="str">
        <f t="shared" si="15"/>
        <v>C</v>
      </c>
    </row>
    <row r="972" spans="1:5" x14ac:dyDescent="0.3">
      <c r="A972" s="56" t="s">
        <v>1568</v>
      </c>
      <c r="B972" s="50" t="s">
        <v>449</v>
      </c>
      <c r="C972" s="33" t="s">
        <v>450</v>
      </c>
      <c r="D972" s="48">
        <v>21995</v>
      </c>
      <c r="E972" s="58" t="str">
        <f t="shared" si="15"/>
        <v>C</v>
      </c>
    </row>
    <row r="973" spans="1:5" x14ac:dyDescent="0.3">
      <c r="A973" s="53" t="s">
        <v>1569</v>
      </c>
      <c r="B973" s="41" t="s">
        <v>359</v>
      </c>
      <c r="C973" s="41" t="s">
        <v>360</v>
      </c>
      <c r="D973" s="48">
        <v>325</v>
      </c>
      <c r="E973" s="58" t="str">
        <f t="shared" si="15"/>
        <v>A</v>
      </c>
    </row>
    <row r="974" spans="1:5" x14ac:dyDescent="0.3">
      <c r="A974" s="53" t="s">
        <v>1570</v>
      </c>
      <c r="B974" s="41" t="s">
        <v>590</v>
      </c>
      <c r="C974" s="41" t="s">
        <v>591</v>
      </c>
      <c r="D974" s="48">
        <v>490</v>
      </c>
      <c r="E974" s="58" t="str">
        <f t="shared" si="15"/>
        <v>A</v>
      </c>
    </row>
    <row r="975" spans="1:5" x14ac:dyDescent="0.3">
      <c r="A975" s="53" t="s">
        <v>1571</v>
      </c>
      <c r="B975" s="41" t="s">
        <v>592</v>
      </c>
      <c r="C975" s="41" t="s">
        <v>593</v>
      </c>
      <c r="D975" s="48">
        <v>490</v>
      </c>
      <c r="E975" s="58" t="str">
        <f t="shared" si="15"/>
        <v>A</v>
      </c>
    </row>
    <row r="976" spans="1:5" x14ac:dyDescent="0.3">
      <c r="A976" s="53" t="s">
        <v>1572</v>
      </c>
      <c r="B976" s="41" t="s">
        <v>173</v>
      </c>
      <c r="C976" s="41" t="s">
        <v>595</v>
      </c>
      <c r="D976" s="48">
        <v>1095</v>
      </c>
      <c r="E976" s="58" t="str">
        <f t="shared" si="15"/>
        <v>B</v>
      </c>
    </row>
    <row r="977" spans="1:5" x14ac:dyDescent="0.3">
      <c r="A977" s="53" t="s">
        <v>1573</v>
      </c>
      <c r="B977" s="41" t="s">
        <v>518</v>
      </c>
      <c r="C977" s="41" t="s">
        <v>595</v>
      </c>
      <c r="D977" s="48">
        <v>4395</v>
      </c>
      <c r="E977" s="58" t="str">
        <f t="shared" si="15"/>
        <v>B</v>
      </c>
    </row>
    <row r="978" spans="1:5" x14ac:dyDescent="0.3">
      <c r="A978" s="53" t="s">
        <v>1574</v>
      </c>
      <c r="B978" s="41" t="s">
        <v>588</v>
      </c>
      <c r="C978" s="41" t="s">
        <v>589</v>
      </c>
      <c r="D978" s="48">
        <v>5495</v>
      </c>
      <c r="E978" s="58" t="str">
        <f t="shared" si="15"/>
        <v>B</v>
      </c>
    </row>
    <row r="979" spans="1:5" x14ac:dyDescent="0.3">
      <c r="A979" s="53" t="s">
        <v>1575</v>
      </c>
      <c r="B979" s="41" t="s">
        <v>1851</v>
      </c>
      <c r="C979" s="41" t="s">
        <v>550</v>
      </c>
      <c r="D979" s="48">
        <v>5495</v>
      </c>
      <c r="E979" s="58" t="str">
        <f t="shared" si="15"/>
        <v>B</v>
      </c>
    </row>
    <row r="980" spans="1:5" x14ac:dyDescent="0.3">
      <c r="A980" s="53" t="s">
        <v>1576</v>
      </c>
      <c r="B980" s="41" t="s">
        <v>1852</v>
      </c>
      <c r="C980" s="41" t="s">
        <v>551</v>
      </c>
      <c r="D980" s="48">
        <v>5495</v>
      </c>
      <c r="E980" s="58" t="str">
        <f t="shared" si="15"/>
        <v>B</v>
      </c>
    </row>
    <row r="981" spans="1:5" x14ac:dyDescent="0.3">
      <c r="A981" s="53" t="s">
        <v>1577</v>
      </c>
      <c r="B981" s="41" t="s">
        <v>1853</v>
      </c>
      <c r="C981" s="41" t="s">
        <v>552</v>
      </c>
      <c r="D981" s="48">
        <v>5495</v>
      </c>
      <c r="E981" s="58" t="str">
        <f t="shared" si="15"/>
        <v>B</v>
      </c>
    </row>
    <row r="982" spans="1:5" x14ac:dyDescent="0.3">
      <c r="A982" s="53" t="s">
        <v>1578</v>
      </c>
      <c r="B982" s="41" t="s">
        <v>1854</v>
      </c>
      <c r="C982" s="41" t="s">
        <v>553</v>
      </c>
      <c r="D982" s="48">
        <v>5495</v>
      </c>
      <c r="E982" s="58" t="str">
        <f t="shared" si="15"/>
        <v>B</v>
      </c>
    </row>
    <row r="983" spans="1:5" x14ac:dyDescent="0.3">
      <c r="A983" s="53" t="s">
        <v>1579</v>
      </c>
      <c r="B983" s="41" t="s">
        <v>1855</v>
      </c>
      <c r="C983" s="41" t="s">
        <v>554</v>
      </c>
      <c r="D983" s="48">
        <v>5495</v>
      </c>
      <c r="E983" s="58" t="str">
        <f t="shared" si="15"/>
        <v>B</v>
      </c>
    </row>
    <row r="984" spans="1:5" x14ac:dyDescent="0.3">
      <c r="A984" s="53" t="s">
        <v>1580</v>
      </c>
      <c r="B984" s="41" t="s">
        <v>1856</v>
      </c>
      <c r="C984" s="41" t="s">
        <v>555</v>
      </c>
      <c r="D984" s="48">
        <v>5495</v>
      </c>
      <c r="E984" s="58" t="str">
        <f t="shared" si="15"/>
        <v>B</v>
      </c>
    </row>
    <row r="985" spans="1:5" x14ac:dyDescent="0.3">
      <c r="A985" s="53" t="s">
        <v>1581</v>
      </c>
      <c r="B985" s="41" t="s">
        <v>1857</v>
      </c>
      <c r="C985" s="41" t="s">
        <v>556</v>
      </c>
      <c r="D985" s="48">
        <v>5495</v>
      </c>
      <c r="E985" s="58" t="str">
        <f t="shared" si="15"/>
        <v>B</v>
      </c>
    </row>
    <row r="986" spans="1:5" x14ac:dyDescent="0.3">
      <c r="A986" s="53" t="s">
        <v>1582</v>
      </c>
      <c r="B986" s="41" t="s">
        <v>1858</v>
      </c>
      <c r="C986" s="41" t="s">
        <v>557</v>
      </c>
      <c r="D986" s="48">
        <v>5495</v>
      </c>
      <c r="E986" s="58" t="str">
        <f t="shared" si="15"/>
        <v>B</v>
      </c>
    </row>
    <row r="987" spans="1:5" x14ac:dyDescent="0.3">
      <c r="A987" s="53" t="s">
        <v>1583</v>
      </c>
      <c r="B987" s="41" t="s">
        <v>363</v>
      </c>
      <c r="C987" s="41" t="s">
        <v>364</v>
      </c>
      <c r="D987" s="48">
        <v>1315</v>
      </c>
      <c r="E987" s="58" t="str">
        <f t="shared" si="15"/>
        <v>B</v>
      </c>
    </row>
    <row r="988" spans="1:5" x14ac:dyDescent="0.3">
      <c r="A988" s="53" t="s">
        <v>1584</v>
      </c>
      <c r="B988" s="41" t="s">
        <v>365</v>
      </c>
      <c r="C988" s="41" t="s">
        <v>366</v>
      </c>
      <c r="D988" s="48">
        <v>1315</v>
      </c>
      <c r="E988" s="58" t="str">
        <f t="shared" si="15"/>
        <v>B</v>
      </c>
    </row>
    <row r="989" spans="1:5" x14ac:dyDescent="0.3">
      <c r="A989" s="53" t="s">
        <v>1585</v>
      </c>
      <c r="B989" s="41" t="s">
        <v>361</v>
      </c>
      <c r="C989" s="41" t="s">
        <v>362</v>
      </c>
      <c r="D989" s="48">
        <v>655</v>
      </c>
      <c r="E989" s="58" t="str">
        <f t="shared" si="15"/>
        <v>A</v>
      </c>
    </row>
    <row r="990" spans="1:5" x14ac:dyDescent="0.3">
      <c r="A990" s="53" t="s">
        <v>1586</v>
      </c>
      <c r="B990" s="41" t="s">
        <v>355</v>
      </c>
      <c r="C990" s="41" t="s">
        <v>356</v>
      </c>
      <c r="D990" s="48">
        <v>435</v>
      </c>
      <c r="E990" s="58" t="str">
        <f t="shared" si="15"/>
        <v>A</v>
      </c>
    </row>
    <row r="991" spans="1:5" x14ac:dyDescent="0.3">
      <c r="A991" s="53" t="s">
        <v>1587</v>
      </c>
      <c r="B991" s="41" t="s">
        <v>357</v>
      </c>
      <c r="C991" s="41" t="s">
        <v>358</v>
      </c>
      <c r="D991" s="48">
        <v>435</v>
      </c>
      <c r="E991" s="58" t="str">
        <f t="shared" si="15"/>
        <v>A</v>
      </c>
    </row>
    <row r="992" spans="1:5" x14ac:dyDescent="0.3">
      <c r="A992" s="53" t="s">
        <v>1588</v>
      </c>
      <c r="B992" s="41" t="s">
        <v>351</v>
      </c>
      <c r="C992" s="41" t="s">
        <v>352</v>
      </c>
      <c r="D992" s="48">
        <v>185</v>
      </c>
      <c r="E992" s="58" t="str">
        <f t="shared" si="15"/>
        <v>A</v>
      </c>
    </row>
    <row r="993" spans="1:5" x14ac:dyDescent="0.3">
      <c r="A993" s="54" t="s">
        <v>1589</v>
      </c>
      <c r="B993" s="33" t="s">
        <v>509</v>
      </c>
      <c r="C993" s="33" t="s">
        <v>509</v>
      </c>
      <c r="D993" s="32">
        <v>4395</v>
      </c>
      <c r="E993" s="58" t="str">
        <f t="shared" si="15"/>
        <v>B</v>
      </c>
    </row>
    <row r="994" spans="1:5" x14ac:dyDescent="0.3">
      <c r="A994" s="54" t="s">
        <v>1590</v>
      </c>
      <c r="B994" s="33" t="s">
        <v>510</v>
      </c>
      <c r="C994" s="33" t="s">
        <v>510</v>
      </c>
      <c r="D994" s="32">
        <v>10995</v>
      </c>
      <c r="E994" s="58" t="str">
        <f t="shared" si="15"/>
        <v>C</v>
      </c>
    </row>
    <row r="995" spans="1:5" x14ac:dyDescent="0.3">
      <c r="A995" s="54" t="s">
        <v>1591</v>
      </c>
      <c r="B995" s="33" t="s">
        <v>511</v>
      </c>
      <c r="C995" s="33" t="s">
        <v>511</v>
      </c>
      <c r="D995" s="32">
        <v>2745</v>
      </c>
      <c r="E995" s="58" t="str">
        <f t="shared" si="15"/>
        <v>B</v>
      </c>
    </row>
    <row r="996" spans="1:5" x14ac:dyDescent="0.3">
      <c r="A996" s="54" t="s">
        <v>1592</v>
      </c>
      <c r="B996" s="33" t="s">
        <v>512</v>
      </c>
      <c r="C996" s="33" t="s">
        <v>512</v>
      </c>
      <c r="D996" s="32">
        <v>3295</v>
      </c>
      <c r="E996" s="58" t="str">
        <f t="shared" si="15"/>
        <v>B</v>
      </c>
    </row>
    <row r="997" spans="1:5" x14ac:dyDescent="0.3">
      <c r="A997" s="54" t="s">
        <v>1593</v>
      </c>
      <c r="B997" s="33" t="s">
        <v>513</v>
      </c>
      <c r="C997" s="33" t="s">
        <v>513</v>
      </c>
      <c r="D997" s="32">
        <v>4295</v>
      </c>
      <c r="E997" s="58" t="str">
        <f t="shared" si="15"/>
        <v>B</v>
      </c>
    </row>
    <row r="998" spans="1:5" x14ac:dyDescent="0.3">
      <c r="A998" s="54" t="s">
        <v>1594</v>
      </c>
      <c r="B998" s="33" t="s">
        <v>514</v>
      </c>
      <c r="C998" s="33" t="s">
        <v>514</v>
      </c>
      <c r="D998" s="32">
        <v>6045</v>
      </c>
      <c r="E998" s="58" t="str">
        <f t="shared" si="15"/>
        <v>B</v>
      </c>
    </row>
    <row r="999" spans="1:5" x14ac:dyDescent="0.3">
      <c r="A999" s="54" t="s">
        <v>1595</v>
      </c>
      <c r="B999" s="33" t="s">
        <v>515</v>
      </c>
      <c r="C999" s="33" t="s">
        <v>515</v>
      </c>
      <c r="D999" s="32">
        <v>1995</v>
      </c>
      <c r="E999" s="58" t="str">
        <f t="shared" si="15"/>
        <v>B</v>
      </c>
    </row>
    <row r="1000" spans="1:5" x14ac:dyDescent="0.3">
      <c r="A1000" s="54" t="s">
        <v>1596</v>
      </c>
      <c r="B1000" s="33" t="s">
        <v>516</v>
      </c>
      <c r="C1000" s="33" t="s">
        <v>516</v>
      </c>
      <c r="D1000" s="32">
        <v>2395</v>
      </c>
      <c r="E1000" s="58" t="str">
        <f t="shared" si="15"/>
        <v>B</v>
      </c>
    </row>
    <row r="1001" spans="1:5" x14ac:dyDescent="0.3">
      <c r="A1001" s="54" t="s">
        <v>1597</v>
      </c>
      <c r="B1001" s="33" t="s">
        <v>517</v>
      </c>
      <c r="C1001" s="33" t="s">
        <v>517</v>
      </c>
      <c r="D1001" s="32">
        <v>2845</v>
      </c>
      <c r="E1001" s="58" t="str">
        <f t="shared" si="15"/>
        <v>B</v>
      </c>
    </row>
    <row r="1002" spans="1:5" x14ac:dyDescent="0.3">
      <c r="A1002" s="54" t="s">
        <v>1598</v>
      </c>
      <c r="B1002" s="33" t="s">
        <v>500</v>
      </c>
      <c r="C1002" s="33" t="s">
        <v>353</v>
      </c>
      <c r="D1002" s="32">
        <v>325</v>
      </c>
      <c r="E1002" s="58" t="str">
        <f t="shared" si="15"/>
        <v>A</v>
      </c>
    </row>
    <row r="1003" spans="1:5" x14ac:dyDescent="0.3">
      <c r="A1003" s="54" t="s">
        <v>1599</v>
      </c>
      <c r="B1003" s="33" t="s">
        <v>2116</v>
      </c>
      <c r="C1003" s="33" t="s">
        <v>2117</v>
      </c>
      <c r="D1003" s="32">
        <v>10995</v>
      </c>
      <c r="E1003" s="58" t="str">
        <f t="shared" si="15"/>
        <v>C</v>
      </c>
    </row>
    <row r="1004" spans="1:5" x14ac:dyDescent="0.3">
      <c r="A1004" s="54" t="s">
        <v>1600</v>
      </c>
      <c r="B1004" s="33" t="s">
        <v>2118</v>
      </c>
      <c r="C1004" s="33" t="s">
        <v>2119</v>
      </c>
      <c r="D1004" s="32">
        <v>11495</v>
      </c>
      <c r="E1004" s="58" t="str">
        <f t="shared" si="15"/>
        <v>C</v>
      </c>
    </row>
    <row r="1005" spans="1:5" x14ac:dyDescent="0.3">
      <c r="A1005" s="54" t="s">
        <v>1601</v>
      </c>
      <c r="B1005" s="33" t="s">
        <v>2120</v>
      </c>
      <c r="C1005" s="33" t="s">
        <v>2121</v>
      </c>
      <c r="D1005" s="32">
        <v>13995</v>
      </c>
      <c r="E1005" s="58" t="str">
        <f t="shared" si="15"/>
        <v>C</v>
      </c>
    </row>
    <row r="1006" spans="1:5" x14ac:dyDescent="0.3">
      <c r="A1006" s="54" t="s">
        <v>1602</v>
      </c>
      <c r="B1006" s="33" t="s">
        <v>2122</v>
      </c>
      <c r="C1006" s="33" t="s">
        <v>2123</v>
      </c>
      <c r="D1006" s="32">
        <v>14495</v>
      </c>
      <c r="E1006" s="58" t="str">
        <f t="shared" si="15"/>
        <v>C</v>
      </c>
    </row>
    <row r="1007" spans="1:5" x14ac:dyDescent="0.3">
      <c r="A1007" s="54" t="s">
        <v>1603</v>
      </c>
      <c r="B1007" s="33" t="s">
        <v>2124</v>
      </c>
      <c r="C1007" s="33" t="s">
        <v>2125</v>
      </c>
      <c r="D1007" s="32">
        <v>875</v>
      </c>
      <c r="E1007" s="58" t="str">
        <f t="shared" si="15"/>
        <v>A</v>
      </c>
    </row>
    <row r="1008" spans="1:5" x14ac:dyDescent="0.3">
      <c r="A1008" s="54" t="s">
        <v>1604</v>
      </c>
      <c r="B1008" s="33" t="s">
        <v>2126</v>
      </c>
      <c r="C1008" s="33" t="s">
        <v>2127</v>
      </c>
      <c r="D1008" s="32">
        <v>995</v>
      </c>
      <c r="E1008" s="58" t="str">
        <f t="shared" si="15"/>
        <v>A</v>
      </c>
    </row>
    <row r="1009" spans="1:5" x14ac:dyDescent="0.3">
      <c r="A1009" s="53" t="s">
        <v>1605</v>
      </c>
      <c r="B1009" s="41" t="s">
        <v>359</v>
      </c>
      <c r="C1009" s="41" t="s">
        <v>360</v>
      </c>
      <c r="D1009" s="48">
        <v>325</v>
      </c>
      <c r="E1009" s="58" t="str">
        <f t="shared" si="15"/>
        <v>A</v>
      </c>
    </row>
    <row r="1010" spans="1:5" x14ac:dyDescent="0.3">
      <c r="A1010" s="53" t="s">
        <v>1606</v>
      </c>
      <c r="B1010" s="41" t="s">
        <v>590</v>
      </c>
      <c r="C1010" s="41" t="s">
        <v>591</v>
      </c>
      <c r="D1010" s="48">
        <v>490</v>
      </c>
      <c r="E1010" s="58" t="str">
        <f t="shared" si="15"/>
        <v>A</v>
      </c>
    </row>
    <row r="1011" spans="1:5" x14ac:dyDescent="0.3">
      <c r="A1011" s="53" t="s">
        <v>1607</v>
      </c>
      <c r="B1011" s="41" t="s">
        <v>592</v>
      </c>
      <c r="C1011" s="41" t="s">
        <v>593</v>
      </c>
      <c r="D1011" s="48">
        <v>490</v>
      </c>
      <c r="E1011" s="58" t="str">
        <f t="shared" si="15"/>
        <v>A</v>
      </c>
    </row>
    <row r="1012" spans="1:5" x14ac:dyDescent="0.3">
      <c r="A1012" s="53" t="s">
        <v>1608</v>
      </c>
      <c r="B1012" s="41" t="s">
        <v>173</v>
      </c>
      <c r="C1012" s="41" t="s">
        <v>595</v>
      </c>
      <c r="D1012" s="48">
        <v>1095</v>
      </c>
      <c r="E1012" s="58" t="str">
        <f t="shared" si="15"/>
        <v>B</v>
      </c>
    </row>
    <row r="1013" spans="1:5" x14ac:dyDescent="0.3">
      <c r="A1013" s="53" t="s">
        <v>1609</v>
      </c>
      <c r="B1013" s="41" t="s">
        <v>518</v>
      </c>
      <c r="C1013" s="41" t="s">
        <v>595</v>
      </c>
      <c r="D1013" s="48">
        <v>4395</v>
      </c>
      <c r="E1013" s="58" t="str">
        <f t="shared" si="15"/>
        <v>B</v>
      </c>
    </row>
    <row r="1014" spans="1:5" x14ac:dyDescent="0.3">
      <c r="A1014" s="53" t="s">
        <v>1610</v>
      </c>
      <c r="B1014" s="41" t="s">
        <v>588</v>
      </c>
      <c r="C1014" s="41" t="s">
        <v>589</v>
      </c>
      <c r="D1014" s="48">
        <v>5495</v>
      </c>
      <c r="E1014" s="58" t="str">
        <f t="shared" si="15"/>
        <v>B</v>
      </c>
    </row>
    <row r="1015" spans="1:5" x14ac:dyDescent="0.3">
      <c r="A1015" s="53" t="s">
        <v>1611</v>
      </c>
      <c r="B1015" s="41" t="s">
        <v>1851</v>
      </c>
      <c r="C1015" s="41" t="s">
        <v>550</v>
      </c>
      <c r="D1015" s="48">
        <v>5495</v>
      </c>
      <c r="E1015" s="58" t="str">
        <f t="shared" si="15"/>
        <v>B</v>
      </c>
    </row>
    <row r="1016" spans="1:5" x14ac:dyDescent="0.3">
      <c r="A1016" s="53" t="s">
        <v>1612</v>
      </c>
      <c r="B1016" s="41" t="s">
        <v>1852</v>
      </c>
      <c r="C1016" s="41" t="s">
        <v>551</v>
      </c>
      <c r="D1016" s="48">
        <v>5495</v>
      </c>
      <c r="E1016" s="58" t="str">
        <f t="shared" si="15"/>
        <v>B</v>
      </c>
    </row>
    <row r="1017" spans="1:5" x14ac:dyDescent="0.3">
      <c r="A1017" s="53" t="s">
        <v>1613</v>
      </c>
      <c r="B1017" s="41" t="s">
        <v>1853</v>
      </c>
      <c r="C1017" s="41" t="s">
        <v>552</v>
      </c>
      <c r="D1017" s="48">
        <v>5495</v>
      </c>
      <c r="E1017" s="58" t="str">
        <f t="shared" si="15"/>
        <v>B</v>
      </c>
    </row>
    <row r="1018" spans="1:5" x14ac:dyDescent="0.3">
      <c r="A1018" s="53" t="s">
        <v>1614</v>
      </c>
      <c r="B1018" s="41" t="s">
        <v>1854</v>
      </c>
      <c r="C1018" s="41" t="s">
        <v>553</v>
      </c>
      <c r="D1018" s="48">
        <v>5495</v>
      </c>
      <c r="E1018" s="58" t="str">
        <f t="shared" si="15"/>
        <v>B</v>
      </c>
    </row>
    <row r="1019" spans="1:5" x14ac:dyDescent="0.3">
      <c r="A1019" s="53" t="s">
        <v>1615</v>
      </c>
      <c r="B1019" s="41" t="s">
        <v>1855</v>
      </c>
      <c r="C1019" s="41" t="s">
        <v>554</v>
      </c>
      <c r="D1019" s="48">
        <v>5495</v>
      </c>
      <c r="E1019" s="58" t="str">
        <f t="shared" si="15"/>
        <v>B</v>
      </c>
    </row>
    <row r="1020" spans="1:5" x14ac:dyDescent="0.3">
      <c r="A1020" s="53" t="s">
        <v>1616</v>
      </c>
      <c r="B1020" s="41" t="s">
        <v>1856</v>
      </c>
      <c r="C1020" s="41" t="s">
        <v>555</v>
      </c>
      <c r="D1020" s="48">
        <v>5495</v>
      </c>
      <c r="E1020" s="58" t="str">
        <f t="shared" si="15"/>
        <v>B</v>
      </c>
    </row>
    <row r="1021" spans="1:5" x14ac:dyDescent="0.3">
      <c r="A1021" s="53" t="s">
        <v>1617</v>
      </c>
      <c r="B1021" s="41" t="s">
        <v>1857</v>
      </c>
      <c r="C1021" s="41" t="s">
        <v>556</v>
      </c>
      <c r="D1021" s="48">
        <v>5495</v>
      </c>
      <c r="E1021" s="58" t="str">
        <f t="shared" si="15"/>
        <v>B</v>
      </c>
    </row>
    <row r="1022" spans="1:5" x14ac:dyDescent="0.3">
      <c r="A1022" s="53" t="s">
        <v>1618</v>
      </c>
      <c r="B1022" s="41" t="s">
        <v>1858</v>
      </c>
      <c r="C1022" s="41" t="s">
        <v>557</v>
      </c>
      <c r="D1022" s="48">
        <v>5495</v>
      </c>
      <c r="E1022" s="58" t="str">
        <f t="shared" si="15"/>
        <v>B</v>
      </c>
    </row>
    <row r="1023" spans="1:5" x14ac:dyDescent="0.3">
      <c r="A1023" s="53" t="s">
        <v>1619</v>
      </c>
      <c r="B1023" s="41" t="s">
        <v>363</v>
      </c>
      <c r="C1023" s="41" t="s">
        <v>364</v>
      </c>
      <c r="D1023" s="48">
        <v>1315</v>
      </c>
      <c r="E1023" s="58" t="str">
        <f t="shared" si="15"/>
        <v>B</v>
      </c>
    </row>
    <row r="1024" spans="1:5" x14ac:dyDescent="0.3">
      <c r="A1024" s="53" t="s">
        <v>1620</v>
      </c>
      <c r="B1024" s="41" t="s">
        <v>365</v>
      </c>
      <c r="C1024" s="41" t="s">
        <v>366</v>
      </c>
      <c r="D1024" s="48">
        <v>1315</v>
      </c>
      <c r="E1024" s="58" t="str">
        <f t="shared" si="15"/>
        <v>B</v>
      </c>
    </row>
    <row r="1025" spans="1:5" x14ac:dyDescent="0.3">
      <c r="A1025" s="53" t="s">
        <v>1621</v>
      </c>
      <c r="B1025" s="41" t="s">
        <v>361</v>
      </c>
      <c r="C1025" s="41" t="s">
        <v>362</v>
      </c>
      <c r="D1025" s="48">
        <v>655</v>
      </c>
      <c r="E1025" s="58" t="str">
        <f t="shared" si="15"/>
        <v>A</v>
      </c>
    </row>
    <row r="1026" spans="1:5" x14ac:dyDescent="0.3">
      <c r="A1026" s="53" t="s">
        <v>1622</v>
      </c>
      <c r="B1026" s="41" t="s">
        <v>355</v>
      </c>
      <c r="C1026" s="41" t="s">
        <v>356</v>
      </c>
      <c r="D1026" s="48">
        <v>435</v>
      </c>
      <c r="E1026" s="58" t="str">
        <f t="shared" si="15"/>
        <v>A</v>
      </c>
    </row>
    <row r="1027" spans="1:5" x14ac:dyDescent="0.3">
      <c r="A1027" s="53" t="s">
        <v>1623</v>
      </c>
      <c r="B1027" s="41" t="s">
        <v>357</v>
      </c>
      <c r="C1027" s="41" t="s">
        <v>358</v>
      </c>
      <c r="D1027" s="48">
        <v>435</v>
      </c>
      <c r="E1027" s="58" t="str">
        <f t="shared" si="15"/>
        <v>A</v>
      </c>
    </row>
    <row r="1028" spans="1:5" x14ac:dyDescent="0.3">
      <c r="A1028" s="53" t="s">
        <v>1624</v>
      </c>
      <c r="B1028" s="41" t="s">
        <v>351</v>
      </c>
      <c r="C1028" s="41" t="s">
        <v>352</v>
      </c>
      <c r="D1028" s="48">
        <v>185</v>
      </c>
      <c r="E1028" s="58" t="str">
        <f t="shared" si="15"/>
        <v>A</v>
      </c>
    </row>
    <row r="1029" spans="1:5" x14ac:dyDescent="0.3">
      <c r="A1029" s="53" t="s">
        <v>1625</v>
      </c>
      <c r="B1029" s="41" t="s">
        <v>2323</v>
      </c>
      <c r="C1029" s="41" t="s">
        <v>2323</v>
      </c>
      <c r="D1029" s="48">
        <v>16495</v>
      </c>
      <c r="E1029" s="58" t="str">
        <f t="shared" ref="E1029:E1092" si="16">VLOOKUP(D1029,$G$4:$H$7,2)</f>
        <v>C</v>
      </c>
    </row>
    <row r="1030" spans="1:5" x14ac:dyDescent="0.3">
      <c r="A1030" s="53" t="s">
        <v>1626</v>
      </c>
      <c r="B1030" s="41" t="s">
        <v>2324</v>
      </c>
      <c r="C1030" s="41" t="s">
        <v>2324</v>
      </c>
      <c r="D1030" s="48">
        <v>21995</v>
      </c>
      <c r="E1030" s="58" t="str">
        <f t="shared" si="16"/>
        <v>C</v>
      </c>
    </row>
    <row r="1031" spans="1:5" x14ac:dyDescent="0.3">
      <c r="A1031" s="53" t="s">
        <v>1627</v>
      </c>
      <c r="B1031" s="41" t="s">
        <v>2325</v>
      </c>
      <c r="C1031" s="41" t="s">
        <v>2325</v>
      </c>
      <c r="D1031" s="48">
        <v>27495</v>
      </c>
      <c r="E1031" s="58" t="str">
        <f t="shared" si="16"/>
        <v>D</v>
      </c>
    </row>
    <row r="1032" spans="1:5" x14ac:dyDescent="0.3">
      <c r="A1032" s="53" t="s">
        <v>1628</v>
      </c>
      <c r="B1032" s="41" t="s">
        <v>2128</v>
      </c>
      <c r="C1032" s="41" t="s">
        <v>2128</v>
      </c>
      <c r="D1032" s="48">
        <v>32995</v>
      </c>
      <c r="E1032" s="58" t="str">
        <f t="shared" si="16"/>
        <v>D</v>
      </c>
    </row>
    <row r="1033" spans="1:5" x14ac:dyDescent="0.3">
      <c r="A1033" s="53" t="s">
        <v>1629</v>
      </c>
      <c r="B1033" s="41" t="s">
        <v>2129</v>
      </c>
      <c r="C1033" s="41" t="s">
        <v>2129</v>
      </c>
      <c r="D1033" s="48">
        <v>20895</v>
      </c>
      <c r="E1033" s="58" t="str">
        <f t="shared" si="16"/>
        <v>C</v>
      </c>
    </row>
    <row r="1034" spans="1:5" x14ac:dyDescent="0.3">
      <c r="A1034" s="53" t="s">
        <v>1630</v>
      </c>
      <c r="B1034" s="41" t="s">
        <v>2130</v>
      </c>
      <c r="C1034" s="41" t="s">
        <v>2130</v>
      </c>
      <c r="D1034" s="48">
        <v>12195</v>
      </c>
      <c r="E1034" s="58" t="str">
        <f t="shared" si="16"/>
        <v>C</v>
      </c>
    </row>
    <row r="1035" spans="1:5" x14ac:dyDescent="0.3">
      <c r="A1035" s="53" t="s">
        <v>1631</v>
      </c>
      <c r="B1035" s="41" t="s">
        <v>2131</v>
      </c>
      <c r="C1035" s="41" t="s">
        <v>2131</v>
      </c>
      <c r="D1035" s="48">
        <v>14295</v>
      </c>
      <c r="E1035" s="58" t="str">
        <f t="shared" si="16"/>
        <v>C</v>
      </c>
    </row>
    <row r="1036" spans="1:5" x14ac:dyDescent="0.3">
      <c r="A1036" s="53" t="s">
        <v>1632</v>
      </c>
      <c r="B1036" s="41" t="s">
        <v>2132</v>
      </c>
      <c r="C1036" s="41" t="s">
        <v>2132</v>
      </c>
      <c r="D1036" s="48">
        <v>16995</v>
      </c>
      <c r="E1036" s="58" t="str">
        <f t="shared" si="16"/>
        <v>C</v>
      </c>
    </row>
    <row r="1037" spans="1:5" x14ac:dyDescent="0.3">
      <c r="A1037" s="53" t="s">
        <v>1633</v>
      </c>
      <c r="B1037" s="41" t="s">
        <v>2133</v>
      </c>
      <c r="C1037" s="41" t="s">
        <v>2133</v>
      </c>
      <c r="D1037" s="48">
        <v>21995</v>
      </c>
      <c r="E1037" s="58" t="str">
        <f t="shared" si="16"/>
        <v>C</v>
      </c>
    </row>
    <row r="1038" spans="1:5" x14ac:dyDescent="0.3">
      <c r="A1038" s="53" t="s">
        <v>1634</v>
      </c>
      <c r="B1038" s="41" t="s">
        <v>2134</v>
      </c>
      <c r="C1038" s="41" t="s">
        <v>2134</v>
      </c>
      <c r="D1038" s="48">
        <v>24995</v>
      </c>
      <c r="E1038" s="58" t="str">
        <f t="shared" si="16"/>
        <v>C</v>
      </c>
    </row>
    <row r="1039" spans="1:5" x14ac:dyDescent="0.3">
      <c r="A1039" s="53" t="s">
        <v>1635</v>
      </c>
      <c r="B1039" s="41" t="s">
        <v>2135</v>
      </c>
      <c r="C1039" s="41" t="s">
        <v>2135</v>
      </c>
      <c r="D1039" s="48">
        <v>3995</v>
      </c>
      <c r="E1039" s="58" t="str">
        <f t="shared" si="16"/>
        <v>B</v>
      </c>
    </row>
    <row r="1040" spans="1:5" x14ac:dyDescent="0.3">
      <c r="A1040" s="53" t="s">
        <v>1636</v>
      </c>
      <c r="B1040" s="41" t="s">
        <v>2136</v>
      </c>
      <c r="C1040" s="41" t="s">
        <v>2136</v>
      </c>
      <c r="D1040" s="48">
        <v>2195</v>
      </c>
      <c r="E1040" s="58" t="str">
        <f t="shared" si="16"/>
        <v>B</v>
      </c>
    </row>
    <row r="1041" spans="1:5" x14ac:dyDescent="0.3">
      <c r="A1041" s="53" t="s">
        <v>1637</v>
      </c>
      <c r="B1041" s="41" t="s">
        <v>2137</v>
      </c>
      <c r="C1041" s="41" t="s">
        <v>2137</v>
      </c>
      <c r="D1041" s="48">
        <v>20895</v>
      </c>
      <c r="E1041" s="58" t="str">
        <f t="shared" si="16"/>
        <v>C</v>
      </c>
    </row>
    <row r="1042" spans="1:5" x14ac:dyDescent="0.3">
      <c r="A1042" s="53" t="s">
        <v>1638</v>
      </c>
      <c r="B1042" s="41" t="s">
        <v>2138</v>
      </c>
      <c r="C1042" s="41" t="s">
        <v>2138</v>
      </c>
      <c r="D1042" s="48">
        <v>13195</v>
      </c>
      <c r="E1042" s="58" t="str">
        <f t="shared" si="16"/>
        <v>C</v>
      </c>
    </row>
    <row r="1043" spans="1:5" x14ac:dyDescent="0.3">
      <c r="A1043" s="53" t="s">
        <v>1639</v>
      </c>
      <c r="B1043" s="41" t="s">
        <v>2326</v>
      </c>
      <c r="C1043" s="41" t="s">
        <v>2327</v>
      </c>
      <c r="D1043" s="48">
        <v>8795</v>
      </c>
      <c r="E1043" s="58" t="str">
        <f t="shared" si="16"/>
        <v>B</v>
      </c>
    </row>
    <row r="1044" spans="1:5" x14ac:dyDescent="0.3">
      <c r="A1044" s="53" t="s">
        <v>1640</v>
      </c>
      <c r="B1044" s="41" t="s">
        <v>2328</v>
      </c>
      <c r="C1044" s="41" t="s">
        <v>2329</v>
      </c>
      <c r="D1044" s="48">
        <v>6045</v>
      </c>
      <c r="E1044" s="58" t="str">
        <f t="shared" si="16"/>
        <v>B</v>
      </c>
    </row>
    <row r="1045" spans="1:5" x14ac:dyDescent="0.3">
      <c r="A1045" s="53" t="s">
        <v>1641</v>
      </c>
      <c r="B1045" s="41" t="s">
        <v>2330</v>
      </c>
      <c r="C1045" s="41" t="s">
        <v>2331</v>
      </c>
      <c r="D1045" s="48">
        <v>10995</v>
      </c>
      <c r="E1045" s="58" t="str">
        <f t="shared" si="16"/>
        <v>C</v>
      </c>
    </row>
    <row r="1046" spans="1:5" x14ac:dyDescent="0.3">
      <c r="A1046" s="53" t="s">
        <v>1642</v>
      </c>
      <c r="B1046" s="41" t="s">
        <v>2332</v>
      </c>
      <c r="C1046" s="41" t="s">
        <v>2332</v>
      </c>
      <c r="D1046" s="48">
        <v>5495</v>
      </c>
      <c r="E1046" s="58" t="str">
        <f t="shared" si="16"/>
        <v>B</v>
      </c>
    </row>
    <row r="1047" spans="1:5" x14ac:dyDescent="0.3">
      <c r="A1047" s="53" t="s">
        <v>1643</v>
      </c>
      <c r="B1047" s="41" t="s">
        <v>2333</v>
      </c>
      <c r="C1047" s="41" t="s">
        <v>2333</v>
      </c>
      <c r="D1047" s="48">
        <v>7695</v>
      </c>
      <c r="E1047" s="58" t="str">
        <f t="shared" si="16"/>
        <v>B</v>
      </c>
    </row>
    <row r="1048" spans="1:5" x14ac:dyDescent="0.3">
      <c r="A1048" s="53" t="s">
        <v>1644</v>
      </c>
      <c r="B1048" s="41" t="s">
        <v>2310</v>
      </c>
      <c r="C1048" s="41" t="s">
        <v>329</v>
      </c>
      <c r="D1048" s="48">
        <v>14295</v>
      </c>
      <c r="E1048" s="58" t="str">
        <f t="shared" si="16"/>
        <v>C</v>
      </c>
    </row>
    <row r="1049" spans="1:5" x14ac:dyDescent="0.3">
      <c r="A1049" s="53" t="s">
        <v>1645</v>
      </c>
      <c r="B1049" s="41" t="s">
        <v>34</v>
      </c>
      <c r="C1049" s="41" t="s">
        <v>34</v>
      </c>
      <c r="D1049" s="48">
        <v>13195</v>
      </c>
      <c r="E1049" s="58" t="str">
        <f t="shared" si="16"/>
        <v>C</v>
      </c>
    </row>
    <row r="1050" spans="1:5" x14ac:dyDescent="0.3">
      <c r="A1050" s="53" t="s">
        <v>1646</v>
      </c>
      <c r="B1050" s="41" t="s">
        <v>2334</v>
      </c>
      <c r="C1050" s="41" t="s">
        <v>2334</v>
      </c>
      <c r="D1050" s="48">
        <v>7695</v>
      </c>
      <c r="E1050" s="58" t="str">
        <f t="shared" si="16"/>
        <v>B</v>
      </c>
    </row>
    <row r="1051" spans="1:5" x14ac:dyDescent="0.3">
      <c r="A1051" s="53" t="s">
        <v>1647</v>
      </c>
      <c r="B1051" s="41" t="s">
        <v>334</v>
      </c>
      <c r="C1051" s="41" t="s">
        <v>335</v>
      </c>
      <c r="D1051" s="48">
        <v>7695</v>
      </c>
      <c r="E1051" s="58" t="str">
        <f t="shared" si="16"/>
        <v>B</v>
      </c>
    </row>
    <row r="1052" spans="1:5" x14ac:dyDescent="0.3">
      <c r="A1052" s="53" t="s">
        <v>1648</v>
      </c>
      <c r="B1052" s="41" t="s">
        <v>336</v>
      </c>
      <c r="C1052" s="41" t="s">
        <v>337</v>
      </c>
      <c r="D1052" s="48">
        <v>10995</v>
      </c>
      <c r="E1052" s="58" t="str">
        <f t="shared" si="16"/>
        <v>C</v>
      </c>
    </row>
    <row r="1053" spans="1:5" x14ac:dyDescent="0.3">
      <c r="A1053" s="53" t="s">
        <v>1649</v>
      </c>
      <c r="B1053" s="41" t="s">
        <v>536</v>
      </c>
      <c r="C1053" s="41" t="s">
        <v>537</v>
      </c>
      <c r="D1053" s="48">
        <v>2745</v>
      </c>
      <c r="E1053" s="58" t="str">
        <f t="shared" si="16"/>
        <v>B</v>
      </c>
    </row>
    <row r="1054" spans="1:5" x14ac:dyDescent="0.3">
      <c r="A1054" s="53" t="s">
        <v>1650</v>
      </c>
      <c r="B1054" s="41" t="s">
        <v>538</v>
      </c>
      <c r="C1054" s="41" t="s">
        <v>539</v>
      </c>
      <c r="D1054" s="48">
        <v>3845</v>
      </c>
      <c r="E1054" s="58" t="str">
        <f t="shared" si="16"/>
        <v>B</v>
      </c>
    </row>
    <row r="1055" spans="1:5" x14ac:dyDescent="0.3">
      <c r="A1055" s="53" t="s">
        <v>1651</v>
      </c>
      <c r="B1055" s="41" t="s">
        <v>542</v>
      </c>
      <c r="C1055" s="41" t="s">
        <v>543</v>
      </c>
      <c r="D1055" s="48">
        <v>10995</v>
      </c>
      <c r="E1055" s="58" t="str">
        <f t="shared" si="16"/>
        <v>C</v>
      </c>
    </row>
    <row r="1056" spans="1:5" x14ac:dyDescent="0.3">
      <c r="A1056" s="53" t="s">
        <v>1652</v>
      </c>
      <c r="B1056" s="41" t="s">
        <v>519</v>
      </c>
      <c r="C1056" s="41" t="s">
        <v>520</v>
      </c>
      <c r="D1056" s="48">
        <v>14295</v>
      </c>
      <c r="E1056" s="58" t="str">
        <f t="shared" si="16"/>
        <v>C</v>
      </c>
    </row>
    <row r="1057" spans="1:5" x14ac:dyDescent="0.3">
      <c r="A1057" s="53" t="s">
        <v>1653</v>
      </c>
      <c r="B1057" s="41" t="s">
        <v>540</v>
      </c>
      <c r="C1057" s="41" t="s">
        <v>541</v>
      </c>
      <c r="D1057" s="48">
        <v>5495</v>
      </c>
      <c r="E1057" s="58" t="str">
        <f t="shared" si="16"/>
        <v>B</v>
      </c>
    </row>
    <row r="1058" spans="1:5" x14ac:dyDescent="0.3">
      <c r="A1058" s="53" t="s">
        <v>1654</v>
      </c>
      <c r="B1058" s="41" t="s">
        <v>535</v>
      </c>
      <c r="C1058" s="41" t="s">
        <v>535</v>
      </c>
      <c r="D1058" s="48">
        <v>1095</v>
      </c>
      <c r="E1058" s="58" t="str">
        <f t="shared" si="16"/>
        <v>B</v>
      </c>
    </row>
    <row r="1059" spans="1:5" x14ac:dyDescent="0.3">
      <c r="A1059" s="53" t="s">
        <v>1655</v>
      </c>
      <c r="B1059" s="41" t="s">
        <v>205</v>
      </c>
      <c r="C1059" s="41" t="s">
        <v>206</v>
      </c>
      <c r="D1059" s="48">
        <v>2745</v>
      </c>
      <c r="E1059" s="58" t="str">
        <f t="shared" si="16"/>
        <v>B</v>
      </c>
    </row>
    <row r="1060" spans="1:5" x14ac:dyDescent="0.3">
      <c r="A1060" s="53" t="s">
        <v>1656</v>
      </c>
      <c r="B1060" s="41" t="s">
        <v>207</v>
      </c>
      <c r="C1060" s="41" t="s">
        <v>208</v>
      </c>
      <c r="D1060" s="48">
        <v>5495</v>
      </c>
      <c r="E1060" s="58" t="str">
        <f t="shared" si="16"/>
        <v>B</v>
      </c>
    </row>
    <row r="1061" spans="1:5" x14ac:dyDescent="0.3">
      <c r="A1061" s="53" t="s">
        <v>1657</v>
      </c>
      <c r="B1061" s="41" t="s">
        <v>590</v>
      </c>
      <c r="C1061" s="41" t="s">
        <v>174</v>
      </c>
      <c r="D1061" s="48">
        <v>490</v>
      </c>
      <c r="E1061" s="58" t="str">
        <f t="shared" si="16"/>
        <v>A</v>
      </c>
    </row>
    <row r="1062" spans="1:5" x14ac:dyDescent="0.3">
      <c r="A1062" s="53" t="s">
        <v>1658</v>
      </c>
      <c r="B1062" s="41" t="s">
        <v>592</v>
      </c>
      <c r="C1062" s="41" t="s">
        <v>175</v>
      </c>
      <c r="D1062" s="48">
        <v>490</v>
      </c>
      <c r="E1062" s="58" t="str">
        <f t="shared" si="16"/>
        <v>A</v>
      </c>
    </row>
    <row r="1063" spans="1:5" x14ac:dyDescent="0.3">
      <c r="A1063" s="53" t="s">
        <v>1659</v>
      </c>
      <c r="B1063" s="41" t="s">
        <v>173</v>
      </c>
      <c r="C1063" s="41" t="s">
        <v>176</v>
      </c>
      <c r="D1063" s="48">
        <v>1095</v>
      </c>
      <c r="E1063" s="58" t="str">
        <f t="shared" si="16"/>
        <v>B</v>
      </c>
    </row>
    <row r="1064" spans="1:5" x14ac:dyDescent="0.3">
      <c r="A1064" s="53" t="s">
        <v>1660</v>
      </c>
      <c r="B1064" s="41" t="s">
        <v>518</v>
      </c>
      <c r="C1064" s="41" t="s">
        <v>176</v>
      </c>
      <c r="D1064" s="48">
        <v>4395</v>
      </c>
      <c r="E1064" s="58" t="str">
        <f t="shared" si="16"/>
        <v>B</v>
      </c>
    </row>
    <row r="1065" spans="1:5" x14ac:dyDescent="0.3">
      <c r="A1065" s="53" t="s">
        <v>1661</v>
      </c>
      <c r="B1065" s="41" t="s">
        <v>359</v>
      </c>
      <c r="C1065" s="41" t="s">
        <v>360</v>
      </c>
      <c r="D1065" s="48">
        <v>325</v>
      </c>
      <c r="E1065" s="58" t="str">
        <f t="shared" si="16"/>
        <v>A</v>
      </c>
    </row>
    <row r="1066" spans="1:5" x14ac:dyDescent="0.3">
      <c r="A1066" s="54" t="s">
        <v>1662</v>
      </c>
      <c r="B1066" s="33" t="s">
        <v>2139</v>
      </c>
      <c r="C1066" s="33" t="s">
        <v>2140</v>
      </c>
      <c r="D1066" s="32">
        <v>13195</v>
      </c>
      <c r="E1066" s="58" t="str">
        <f t="shared" si="16"/>
        <v>C</v>
      </c>
    </row>
    <row r="1067" spans="1:5" x14ac:dyDescent="0.3">
      <c r="A1067" s="56" t="s">
        <v>1663</v>
      </c>
      <c r="B1067" s="33" t="s">
        <v>2141</v>
      </c>
      <c r="C1067" s="33" t="s">
        <v>2141</v>
      </c>
      <c r="D1067" s="48">
        <v>17595</v>
      </c>
      <c r="E1067" s="58" t="str">
        <f t="shared" si="16"/>
        <v>C</v>
      </c>
    </row>
    <row r="1068" spans="1:5" x14ac:dyDescent="0.3">
      <c r="A1068" s="54" t="s">
        <v>1664</v>
      </c>
      <c r="B1068" s="33" t="s">
        <v>2142</v>
      </c>
      <c r="C1068" s="33" t="s">
        <v>2143</v>
      </c>
      <c r="D1068" s="32">
        <v>13495</v>
      </c>
      <c r="E1068" s="58" t="str">
        <f t="shared" si="16"/>
        <v>C</v>
      </c>
    </row>
    <row r="1069" spans="1:5" x14ac:dyDescent="0.3">
      <c r="A1069" s="56" t="s">
        <v>1665</v>
      </c>
      <c r="B1069" s="33" t="s">
        <v>2144</v>
      </c>
      <c r="C1069" s="33" t="s">
        <v>2144</v>
      </c>
      <c r="D1069" s="48">
        <v>17995</v>
      </c>
      <c r="E1069" s="58" t="str">
        <f t="shared" si="16"/>
        <v>C</v>
      </c>
    </row>
    <row r="1070" spans="1:5" x14ac:dyDescent="0.3">
      <c r="A1070" s="54" t="s">
        <v>1666</v>
      </c>
      <c r="B1070" s="33" t="s">
        <v>2145</v>
      </c>
      <c r="C1070" s="33" t="s">
        <v>2146</v>
      </c>
      <c r="D1070" s="32">
        <v>16495</v>
      </c>
      <c r="E1070" s="58" t="str">
        <f t="shared" si="16"/>
        <v>C</v>
      </c>
    </row>
    <row r="1071" spans="1:5" x14ac:dyDescent="0.3">
      <c r="A1071" s="56" t="s">
        <v>1667</v>
      </c>
      <c r="B1071" s="33" t="s">
        <v>2147</v>
      </c>
      <c r="C1071" s="33" t="s">
        <v>2147</v>
      </c>
      <c r="D1071" s="48">
        <v>20895</v>
      </c>
      <c r="E1071" s="58" t="str">
        <f t="shared" si="16"/>
        <v>C</v>
      </c>
    </row>
    <row r="1072" spans="1:5" x14ac:dyDescent="0.3">
      <c r="A1072" s="54" t="s">
        <v>1668</v>
      </c>
      <c r="B1072" s="33" t="s">
        <v>2148</v>
      </c>
      <c r="C1072" s="33" t="s">
        <v>2149</v>
      </c>
      <c r="D1072" s="32">
        <v>16795</v>
      </c>
      <c r="E1072" s="58" t="str">
        <f t="shared" si="16"/>
        <v>C</v>
      </c>
    </row>
    <row r="1073" spans="1:5" x14ac:dyDescent="0.3">
      <c r="A1073" s="56" t="s">
        <v>1669</v>
      </c>
      <c r="B1073" s="33" t="s">
        <v>2150</v>
      </c>
      <c r="C1073" s="33" t="s">
        <v>2150</v>
      </c>
      <c r="D1073" s="48">
        <v>21295</v>
      </c>
      <c r="E1073" s="58" t="str">
        <f t="shared" si="16"/>
        <v>C</v>
      </c>
    </row>
    <row r="1074" spans="1:5" x14ac:dyDescent="0.3">
      <c r="A1074" s="54" t="s">
        <v>1670</v>
      </c>
      <c r="B1074" s="33" t="s">
        <v>2151</v>
      </c>
      <c r="C1074" s="33" t="s">
        <v>2151</v>
      </c>
      <c r="D1074" s="32">
        <v>4395</v>
      </c>
      <c r="E1074" s="58" t="str">
        <f t="shared" si="16"/>
        <v>B</v>
      </c>
    </row>
    <row r="1075" spans="1:5" x14ac:dyDescent="0.3">
      <c r="A1075" s="53" t="s">
        <v>1671</v>
      </c>
      <c r="B1075" s="41" t="s">
        <v>2152</v>
      </c>
      <c r="C1075" s="41" t="s">
        <v>2152</v>
      </c>
      <c r="D1075" s="48">
        <v>1095</v>
      </c>
      <c r="E1075" s="58" t="str">
        <f t="shared" si="16"/>
        <v>B</v>
      </c>
    </row>
    <row r="1076" spans="1:5" x14ac:dyDescent="0.3">
      <c r="A1076" s="53" t="s">
        <v>1672</v>
      </c>
      <c r="B1076" s="41" t="s">
        <v>2153</v>
      </c>
      <c r="C1076" s="41" t="s">
        <v>2153</v>
      </c>
      <c r="D1076" s="48">
        <v>1425</v>
      </c>
      <c r="E1076" s="58" t="str">
        <f t="shared" si="16"/>
        <v>B</v>
      </c>
    </row>
    <row r="1077" spans="1:5" x14ac:dyDescent="0.3">
      <c r="A1077" s="53" t="s">
        <v>1673</v>
      </c>
      <c r="B1077" s="41" t="s">
        <v>35</v>
      </c>
      <c r="C1077" s="41" t="s">
        <v>2154</v>
      </c>
      <c r="D1077" s="48">
        <v>9995</v>
      </c>
      <c r="E1077" s="58" t="str">
        <f t="shared" si="16"/>
        <v>B</v>
      </c>
    </row>
    <row r="1078" spans="1:5" x14ac:dyDescent="0.3">
      <c r="A1078" s="53" t="s">
        <v>1674</v>
      </c>
      <c r="B1078" s="41" t="s">
        <v>36</v>
      </c>
      <c r="C1078" s="41" t="s">
        <v>2155</v>
      </c>
      <c r="D1078" s="48">
        <v>16495</v>
      </c>
      <c r="E1078" s="58" t="str">
        <f t="shared" si="16"/>
        <v>C</v>
      </c>
    </row>
    <row r="1079" spans="1:5" x14ac:dyDescent="0.3">
      <c r="A1079" s="53" t="s">
        <v>1675</v>
      </c>
      <c r="B1079" s="41" t="s">
        <v>37</v>
      </c>
      <c r="C1079" s="41" t="s">
        <v>2156</v>
      </c>
      <c r="D1079" s="48">
        <v>10295</v>
      </c>
      <c r="E1079" s="58" t="str">
        <f t="shared" si="16"/>
        <v>C</v>
      </c>
    </row>
    <row r="1080" spans="1:5" x14ac:dyDescent="0.3">
      <c r="A1080" s="53" t="s">
        <v>1676</v>
      </c>
      <c r="B1080" s="41" t="s">
        <v>38</v>
      </c>
      <c r="C1080" s="41" t="s">
        <v>2157</v>
      </c>
      <c r="D1080" s="48">
        <v>16895</v>
      </c>
      <c r="E1080" s="58" t="str">
        <f t="shared" si="16"/>
        <v>C</v>
      </c>
    </row>
    <row r="1081" spans="1:5" x14ac:dyDescent="0.3">
      <c r="A1081" s="53" t="s">
        <v>1677</v>
      </c>
      <c r="B1081" s="41" t="s">
        <v>39</v>
      </c>
      <c r="C1081" s="41" t="s">
        <v>40</v>
      </c>
      <c r="D1081" s="48">
        <v>11995</v>
      </c>
      <c r="E1081" s="58" t="str">
        <f t="shared" si="16"/>
        <v>C</v>
      </c>
    </row>
    <row r="1082" spans="1:5" x14ac:dyDescent="0.3">
      <c r="A1082" s="53" t="s">
        <v>1678</v>
      </c>
      <c r="B1082" s="41" t="s">
        <v>41</v>
      </c>
      <c r="C1082" s="41" t="s">
        <v>42</v>
      </c>
      <c r="D1082" s="48">
        <v>11995</v>
      </c>
      <c r="E1082" s="58" t="str">
        <f t="shared" si="16"/>
        <v>C</v>
      </c>
    </row>
    <row r="1083" spans="1:5" x14ac:dyDescent="0.3">
      <c r="A1083" s="53" t="s">
        <v>1679</v>
      </c>
      <c r="B1083" s="41" t="s">
        <v>43</v>
      </c>
      <c r="C1083" s="41" t="s">
        <v>44</v>
      </c>
      <c r="D1083" s="48">
        <v>1920</v>
      </c>
      <c r="E1083" s="58" t="str">
        <f t="shared" si="16"/>
        <v>B</v>
      </c>
    </row>
    <row r="1084" spans="1:5" x14ac:dyDescent="0.3">
      <c r="A1084" s="53" t="s">
        <v>1680</v>
      </c>
      <c r="B1084" s="41" t="s">
        <v>45</v>
      </c>
      <c r="C1084" s="41" t="s">
        <v>46</v>
      </c>
      <c r="D1084" s="48">
        <v>3795</v>
      </c>
      <c r="E1084" s="58" t="str">
        <f t="shared" si="16"/>
        <v>B</v>
      </c>
    </row>
    <row r="1085" spans="1:5" x14ac:dyDescent="0.3">
      <c r="A1085" s="53" t="s">
        <v>1681</v>
      </c>
      <c r="B1085" s="41" t="s">
        <v>47</v>
      </c>
      <c r="C1085" s="41" t="s">
        <v>48</v>
      </c>
      <c r="D1085" s="48">
        <v>2195</v>
      </c>
      <c r="E1085" s="58" t="str">
        <f t="shared" si="16"/>
        <v>B</v>
      </c>
    </row>
    <row r="1086" spans="1:5" x14ac:dyDescent="0.3">
      <c r="A1086" s="53" t="s">
        <v>1682</v>
      </c>
      <c r="B1086" s="41" t="s">
        <v>49</v>
      </c>
      <c r="C1086" s="41" t="s">
        <v>50</v>
      </c>
      <c r="D1086" s="48">
        <v>4095</v>
      </c>
      <c r="E1086" s="58" t="str">
        <f t="shared" si="16"/>
        <v>B</v>
      </c>
    </row>
    <row r="1087" spans="1:5" x14ac:dyDescent="0.3">
      <c r="A1087" s="53" t="s">
        <v>1683</v>
      </c>
      <c r="B1087" s="41" t="s">
        <v>2158</v>
      </c>
      <c r="C1087" s="41" t="s">
        <v>51</v>
      </c>
      <c r="D1087" s="48">
        <v>1095</v>
      </c>
      <c r="E1087" s="58" t="str">
        <f t="shared" si="16"/>
        <v>B</v>
      </c>
    </row>
    <row r="1088" spans="1:5" x14ac:dyDescent="0.3">
      <c r="A1088" s="53" t="s">
        <v>1684</v>
      </c>
      <c r="B1088" s="41" t="s">
        <v>2159</v>
      </c>
      <c r="C1088" s="41" t="s">
        <v>51</v>
      </c>
      <c r="D1088" s="48">
        <v>1195</v>
      </c>
      <c r="E1088" s="58" t="str">
        <f t="shared" si="16"/>
        <v>B</v>
      </c>
    </row>
    <row r="1089" spans="1:5" x14ac:dyDescent="0.3">
      <c r="A1089" s="53" t="s">
        <v>1685</v>
      </c>
      <c r="B1089" s="41" t="s">
        <v>2160</v>
      </c>
      <c r="C1089" s="41" t="s">
        <v>52</v>
      </c>
      <c r="D1089" s="48">
        <v>1425</v>
      </c>
      <c r="E1089" s="58" t="str">
        <f t="shared" si="16"/>
        <v>B</v>
      </c>
    </row>
    <row r="1090" spans="1:5" x14ac:dyDescent="0.3">
      <c r="A1090" s="54" t="s">
        <v>1686</v>
      </c>
      <c r="B1090" s="33" t="s">
        <v>2161</v>
      </c>
      <c r="C1090" s="33" t="s">
        <v>2162</v>
      </c>
      <c r="D1090" s="32">
        <v>43995</v>
      </c>
      <c r="E1090" s="58" t="str">
        <f t="shared" si="16"/>
        <v>D</v>
      </c>
    </row>
    <row r="1091" spans="1:5" x14ac:dyDescent="0.3">
      <c r="A1091" s="54" t="s">
        <v>1687</v>
      </c>
      <c r="B1091" s="33" t="s">
        <v>2163</v>
      </c>
      <c r="C1091" s="33" t="s">
        <v>2162</v>
      </c>
      <c r="D1091" s="32">
        <v>47495</v>
      </c>
      <c r="E1091" s="58" t="str">
        <f t="shared" si="16"/>
        <v>D</v>
      </c>
    </row>
    <row r="1092" spans="1:5" x14ac:dyDescent="0.3">
      <c r="A1092" s="54" t="s">
        <v>1688</v>
      </c>
      <c r="B1092" s="33" t="s">
        <v>2164</v>
      </c>
      <c r="C1092" s="33" t="s">
        <v>2165</v>
      </c>
      <c r="D1092" s="32">
        <v>43995</v>
      </c>
      <c r="E1092" s="58" t="str">
        <f t="shared" si="16"/>
        <v>D</v>
      </c>
    </row>
    <row r="1093" spans="1:5" x14ac:dyDescent="0.3">
      <c r="A1093" s="54" t="s">
        <v>1689</v>
      </c>
      <c r="B1093" s="33" t="s">
        <v>2166</v>
      </c>
      <c r="C1093" s="33" t="s">
        <v>2165</v>
      </c>
      <c r="D1093" s="32">
        <v>47495</v>
      </c>
      <c r="E1093" s="58" t="str">
        <f t="shared" ref="E1093:E1156" si="17">VLOOKUP(D1093,$G$4:$H$7,2)</f>
        <v>D</v>
      </c>
    </row>
    <row r="1094" spans="1:5" x14ac:dyDescent="0.3">
      <c r="A1094" s="53" t="s">
        <v>1690</v>
      </c>
      <c r="B1094" s="41" t="s">
        <v>53</v>
      </c>
      <c r="C1094" s="41" t="s">
        <v>2167</v>
      </c>
      <c r="D1094" s="48">
        <v>41795</v>
      </c>
      <c r="E1094" s="58" t="str">
        <f t="shared" si="17"/>
        <v>D</v>
      </c>
    </row>
    <row r="1095" spans="1:5" x14ac:dyDescent="0.3">
      <c r="A1095" s="53" t="s">
        <v>1691</v>
      </c>
      <c r="B1095" s="41" t="s">
        <v>54</v>
      </c>
      <c r="C1095" s="41" t="s">
        <v>2168</v>
      </c>
      <c r="D1095" s="48">
        <v>44595</v>
      </c>
      <c r="E1095" s="58" t="str">
        <f t="shared" si="17"/>
        <v>D</v>
      </c>
    </row>
    <row r="1096" spans="1:5" x14ac:dyDescent="0.3">
      <c r="A1096" s="54" t="s">
        <v>1692</v>
      </c>
      <c r="B1096" s="33" t="s">
        <v>2169</v>
      </c>
      <c r="C1096" s="33" t="s">
        <v>2169</v>
      </c>
      <c r="D1096" s="48">
        <v>38495</v>
      </c>
      <c r="E1096" s="58" t="str">
        <f t="shared" si="17"/>
        <v>D</v>
      </c>
    </row>
    <row r="1097" spans="1:5" x14ac:dyDescent="0.3">
      <c r="A1097" s="54" t="s">
        <v>1693</v>
      </c>
      <c r="B1097" s="33" t="s">
        <v>2170</v>
      </c>
      <c r="C1097" s="33" t="s">
        <v>2170</v>
      </c>
      <c r="D1097" s="48">
        <v>41295</v>
      </c>
      <c r="E1097" s="58" t="str">
        <f t="shared" si="17"/>
        <v>D</v>
      </c>
    </row>
    <row r="1098" spans="1:5" x14ac:dyDescent="0.3">
      <c r="A1098" s="54" t="s">
        <v>1694</v>
      </c>
      <c r="B1098" s="33" t="s">
        <v>2171</v>
      </c>
      <c r="C1098" s="33" t="s">
        <v>2171</v>
      </c>
      <c r="D1098" s="48">
        <v>38495</v>
      </c>
      <c r="E1098" s="58" t="str">
        <f t="shared" si="17"/>
        <v>D</v>
      </c>
    </row>
    <row r="1099" spans="1:5" x14ac:dyDescent="0.3">
      <c r="A1099" s="54" t="s">
        <v>1695</v>
      </c>
      <c r="B1099" s="33" t="s">
        <v>2172</v>
      </c>
      <c r="C1099" s="33" t="s">
        <v>2172</v>
      </c>
      <c r="D1099" s="48">
        <v>41295</v>
      </c>
      <c r="E1099" s="58" t="str">
        <f t="shared" si="17"/>
        <v>D</v>
      </c>
    </row>
    <row r="1100" spans="1:5" x14ac:dyDescent="0.3">
      <c r="A1100" s="54" t="s">
        <v>1696</v>
      </c>
      <c r="B1100" s="33" t="s">
        <v>2173</v>
      </c>
      <c r="C1100" s="33" t="s">
        <v>2173</v>
      </c>
      <c r="D1100" s="48">
        <v>42895</v>
      </c>
      <c r="E1100" s="58" t="str">
        <f t="shared" si="17"/>
        <v>D</v>
      </c>
    </row>
    <row r="1101" spans="1:5" x14ac:dyDescent="0.3">
      <c r="A1101" s="54" t="s">
        <v>1697</v>
      </c>
      <c r="B1101" s="33" t="s">
        <v>2174</v>
      </c>
      <c r="C1101" s="33" t="s">
        <v>2174</v>
      </c>
      <c r="D1101" s="48">
        <v>45695</v>
      </c>
      <c r="E1101" s="58" t="str">
        <f t="shared" si="17"/>
        <v>D</v>
      </c>
    </row>
    <row r="1102" spans="1:5" x14ac:dyDescent="0.3">
      <c r="A1102" s="53" t="s">
        <v>1698</v>
      </c>
      <c r="B1102" s="41" t="s">
        <v>2175</v>
      </c>
      <c r="C1102" s="41" t="s">
        <v>2175</v>
      </c>
      <c r="D1102" s="48">
        <v>32995</v>
      </c>
      <c r="E1102" s="58" t="str">
        <f t="shared" si="17"/>
        <v>D</v>
      </c>
    </row>
    <row r="1103" spans="1:5" x14ac:dyDescent="0.3">
      <c r="A1103" s="54" t="s">
        <v>1699</v>
      </c>
      <c r="B1103" s="33" t="s">
        <v>2176</v>
      </c>
      <c r="C1103" s="33" t="s">
        <v>2176</v>
      </c>
      <c r="D1103" s="48">
        <v>35795</v>
      </c>
      <c r="E1103" s="58" t="str">
        <f t="shared" si="17"/>
        <v>D</v>
      </c>
    </row>
    <row r="1104" spans="1:5" x14ac:dyDescent="0.3">
      <c r="A1104" s="53" t="s">
        <v>1700</v>
      </c>
      <c r="B1104" s="41" t="s">
        <v>2335</v>
      </c>
      <c r="C1104" s="41" t="s">
        <v>2177</v>
      </c>
      <c r="D1104" s="48">
        <v>32995</v>
      </c>
      <c r="E1104" s="58" t="str">
        <f t="shared" si="17"/>
        <v>D</v>
      </c>
    </row>
    <row r="1105" spans="1:5" x14ac:dyDescent="0.3">
      <c r="A1105" s="53" t="s">
        <v>1701</v>
      </c>
      <c r="B1105" s="41" t="s">
        <v>2336</v>
      </c>
      <c r="C1105" s="41" t="s">
        <v>2178</v>
      </c>
      <c r="D1105" s="48">
        <v>35795</v>
      </c>
      <c r="E1105" s="58" t="str">
        <f t="shared" si="17"/>
        <v>D</v>
      </c>
    </row>
    <row r="1106" spans="1:5" x14ac:dyDescent="0.3">
      <c r="A1106" s="53" t="s">
        <v>1702</v>
      </c>
      <c r="B1106" s="41" t="s">
        <v>2337</v>
      </c>
      <c r="C1106" s="41" t="s">
        <v>2179</v>
      </c>
      <c r="D1106" s="48">
        <v>37395</v>
      </c>
      <c r="E1106" s="58" t="str">
        <f t="shared" si="17"/>
        <v>D</v>
      </c>
    </row>
    <row r="1107" spans="1:5" x14ac:dyDescent="0.3">
      <c r="A1107" s="53" t="s">
        <v>1703</v>
      </c>
      <c r="B1107" s="41" t="s">
        <v>2338</v>
      </c>
      <c r="C1107" s="41" t="s">
        <v>2180</v>
      </c>
      <c r="D1107" s="48">
        <v>38995</v>
      </c>
      <c r="E1107" s="58" t="str">
        <f t="shared" si="17"/>
        <v>D</v>
      </c>
    </row>
    <row r="1108" spans="1:5" x14ac:dyDescent="0.3">
      <c r="A1108" s="53" t="s">
        <v>1704</v>
      </c>
      <c r="B1108" s="41" t="s">
        <v>2339</v>
      </c>
      <c r="C1108" s="41" t="s">
        <v>2181</v>
      </c>
      <c r="D1108" s="48">
        <v>17595</v>
      </c>
      <c r="E1108" s="58" t="str">
        <f t="shared" si="17"/>
        <v>C</v>
      </c>
    </row>
    <row r="1109" spans="1:5" x14ac:dyDescent="0.3">
      <c r="A1109" s="53" t="s">
        <v>1705</v>
      </c>
      <c r="B1109" s="41" t="s">
        <v>2340</v>
      </c>
      <c r="C1109" s="41" t="s">
        <v>2182</v>
      </c>
      <c r="D1109" s="48">
        <v>21995</v>
      </c>
      <c r="E1109" s="58" t="str">
        <f t="shared" si="17"/>
        <v>C</v>
      </c>
    </row>
    <row r="1110" spans="1:5" x14ac:dyDescent="0.3">
      <c r="A1110" s="53" t="s">
        <v>1706</v>
      </c>
      <c r="B1110" s="41" t="s">
        <v>2341</v>
      </c>
      <c r="C1110" s="41" t="s">
        <v>2183</v>
      </c>
      <c r="D1110" s="48">
        <v>21995</v>
      </c>
      <c r="E1110" s="58" t="str">
        <f t="shared" si="17"/>
        <v>C</v>
      </c>
    </row>
    <row r="1111" spans="1:5" x14ac:dyDescent="0.3">
      <c r="A1111" s="53" t="s">
        <v>1707</v>
      </c>
      <c r="B1111" s="41" t="s">
        <v>2342</v>
      </c>
      <c r="C1111" s="41" t="s">
        <v>2184</v>
      </c>
      <c r="D1111" s="48">
        <v>19795</v>
      </c>
      <c r="E1111" s="58" t="str">
        <f t="shared" si="17"/>
        <v>C</v>
      </c>
    </row>
    <row r="1112" spans="1:5" x14ac:dyDescent="0.3">
      <c r="A1112" s="53" t="s">
        <v>1708</v>
      </c>
      <c r="B1112" s="41" t="s">
        <v>2343</v>
      </c>
      <c r="C1112" s="41" t="s">
        <v>2185</v>
      </c>
      <c r="D1112" s="48">
        <v>25295</v>
      </c>
      <c r="E1112" s="58" t="str">
        <f t="shared" si="17"/>
        <v>D</v>
      </c>
    </row>
    <row r="1113" spans="1:5" x14ac:dyDescent="0.3">
      <c r="A1113" s="53" t="s">
        <v>1709</v>
      </c>
      <c r="B1113" s="41" t="s">
        <v>2344</v>
      </c>
      <c r="C1113" s="41" t="s">
        <v>2186</v>
      </c>
      <c r="D1113" s="48">
        <v>25295</v>
      </c>
      <c r="E1113" s="58" t="str">
        <f t="shared" si="17"/>
        <v>D</v>
      </c>
    </row>
    <row r="1114" spans="1:5" x14ac:dyDescent="0.3">
      <c r="A1114" s="54" t="s">
        <v>1710</v>
      </c>
      <c r="B1114" s="33" t="s">
        <v>2187</v>
      </c>
      <c r="C1114" s="33" t="s">
        <v>2187</v>
      </c>
      <c r="D1114" s="48">
        <v>19795</v>
      </c>
      <c r="E1114" s="58" t="str">
        <f t="shared" si="17"/>
        <v>C</v>
      </c>
    </row>
    <row r="1115" spans="1:5" x14ac:dyDescent="0.3">
      <c r="A1115" s="54" t="s">
        <v>1711</v>
      </c>
      <c r="B1115" s="33" t="s">
        <v>2188</v>
      </c>
      <c r="C1115" s="33" t="s">
        <v>2188</v>
      </c>
      <c r="D1115" s="48">
        <v>29695</v>
      </c>
      <c r="E1115" s="58" t="str">
        <f t="shared" si="17"/>
        <v>D</v>
      </c>
    </row>
    <row r="1116" spans="1:5" x14ac:dyDescent="0.3">
      <c r="A1116" s="53" t="s">
        <v>1712</v>
      </c>
      <c r="B1116" s="41" t="s">
        <v>2345</v>
      </c>
      <c r="C1116" s="41" t="s">
        <v>2189</v>
      </c>
      <c r="D1116" s="48">
        <v>17595</v>
      </c>
      <c r="E1116" s="58" t="str">
        <f t="shared" si="17"/>
        <v>C</v>
      </c>
    </row>
    <row r="1117" spans="1:5" x14ac:dyDescent="0.3">
      <c r="A1117" s="53" t="s">
        <v>1713</v>
      </c>
      <c r="B1117" s="41" t="s">
        <v>2346</v>
      </c>
      <c r="C1117" s="41" t="s">
        <v>2190</v>
      </c>
      <c r="D1117" s="48">
        <v>20395</v>
      </c>
      <c r="E1117" s="58" t="str">
        <f t="shared" si="17"/>
        <v>C</v>
      </c>
    </row>
    <row r="1118" spans="1:5" x14ac:dyDescent="0.3">
      <c r="A1118" s="53" t="s">
        <v>1714</v>
      </c>
      <c r="B1118" s="41" t="s">
        <v>2347</v>
      </c>
      <c r="C1118" s="41" t="s">
        <v>2191</v>
      </c>
      <c r="D1118" s="48">
        <v>21995</v>
      </c>
      <c r="E1118" s="58" t="str">
        <f t="shared" si="17"/>
        <v>C</v>
      </c>
    </row>
    <row r="1119" spans="1:5" x14ac:dyDescent="0.3">
      <c r="A1119" s="53" t="s">
        <v>1715</v>
      </c>
      <c r="B1119" s="41" t="s">
        <v>2348</v>
      </c>
      <c r="C1119" s="41" t="s">
        <v>2192</v>
      </c>
      <c r="D1119" s="48">
        <v>24795</v>
      </c>
      <c r="E1119" s="58" t="str">
        <f t="shared" si="17"/>
        <v>C</v>
      </c>
    </row>
    <row r="1120" spans="1:5" x14ac:dyDescent="0.3">
      <c r="A1120" s="53" t="s">
        <v>1716</v>
      </c>
      <c r="B1120" s="41" t="s">
        <v>2349</v>
      </c>
      <c r="C1120" s="41" t="s">
        <v>2193</v>
      </c>
      <c r="D1120" s="48">
        <v>21995</v>
      </c>
      <c r="E1120" s="58" t="str">
        <f t="shared" si="17"/>
        <v>C</v>
      </c>
    </row>
    <row r="1121" spans="1:5" x14ac:dyDescent="0.3">
      <c r="A1121" s="53" t="s">
        <v>1717</v>
      </c>
      <c r="B1121" s="41" t="s">
        <v>2350</v>
      </c>
      <c r="C1121" s="41" t="s">
        <v>2194</v>
      </c>
      <c r="D1121" s="48">
        <v>24795</v>
      </c>
      <c r="E1121" s="58" t="str">
        <f t="shared" si="17"/>
        <v>C</v>
      </c>
    </row>
    <row r="1122" spans="1:5" x14ac:dyDescent="0.3">
      <c r="A1122" s="54" t="s">
        <v>1718</v>
      </c>
      <c r="B1122" s="33" t="s">
        <v>213</v>
      </c>
      <c r="C1122" s="33" t="s">
        <v>213</v>
      </c>
      <c r="D1122" s="48">
        <v>21995</v>
      </c>
      <c r="E1122" s="58" t="str">
        <f t="shared" si="17"/>
        <v>C</v>
      </c>
    </row>
    <row r="1123" spans="1:5" x14ac:dyDescent="0.3">
      <c r="A1123" s="54" t="s">
        <v>1719</v>
      </c>
      <c r="B1123" s="33" t="s">
        <v>214</v>
      </c>
      <c r="C1123" s="33" t="s">
        <v>214</v>
      </c>
      <c r="D1123" s="48">
        <v>29695</v>
      </c>
      <c r="E1123" s="58" t="str">
        <f t="shared" si="17"/>
        <v>D</v>
      </c>
    </row>
    <row r="1124" spans="1:5" x14ac:dyDescent="0.3">
      <c r="A1124" s="53" t="s">
        <v>1720</v>
      </c>
      <c r="B1124" s="41" t="s">
        <v>2351</v>
      </c>
      <c r="C1124" s="41" t="s">
        <v>2195</v>
      </c>
      <c r="D1124" s="48">
        <v>27495</v>
      </c>
      <c r="E1124" s="58" t="str">
        <f t="shared" si="17"/>
        <v>D</v>
      </c>
    </row>
    <row r="1125" spans="1:5" x14ac:dyDescent="0.3">
      <c r="A1125" s="53" t="s">
        <v>1721</v>
      </c>
      <c r="B1125" s="41" t="s">
        <v>2352</v>
      </c>
      <c r="C1125" s="41" t="s">
        <v>2196</v>
      </c>
      <c r="D1125" s="48">
        <v>30295</v>
      </c>
      <c r="E1125" s="58" t="str">
        <f t="shared" si="17"/>
        <v>D</v>
      </c>
    </row>
    <row r="1126" spans="1:5" x14ac:dyDescent="0.3">
      <c r="A1126" s="53" t="s">
        <v>1722</v>
      </c>
      <c r="B1126" s="41" t="s">
        <v>2353</v>
      </c>
      <c r="C1126" s="41" t="s">
        <v>2197</v>
      </c>
      <c r="D1126" s="48">
        <v>31995</v>
      </c>
      <c r="E1126" s="58" t="str">
        <f t="shared" si="17"/>
        <v>D</v>
      </c>
    </row>
    <row r="1127" spans="1:5" x14ac:dyDescent="0.3">
      <c r="A1127" s="53" t="s">
        <v>1723</v>
      </c>
      <c r="B1127" s="41" t="s">
        <v>2354</v>
      </c>
      <c r="C1127" s="41" t="s">
        <v>2198</v>
      </c>
      <c r="D1127" s="48">
        <v>34795</v>
      </c>
      <c r="E1127" s="58" t="str">
        <f t="shared" si="17"/>
        <v>D</v>
      </c>
    </row>
    <row r="1128" spans="1:5" x14ac:dyDescent="0.3">
      <c r="A1128" s="53" t="s">
        <v>1724</v>
      </c>
      <c r="B1128" s="41" t="s">
        <v>2355</v>
      </c>
      <c r="C1128" s="41" t="s">
        <v>2199</v>
      </c>
      <c r="D1128" s="48">
        <v>31995</v>
      </c>
      <c r="E1128" s="58" t="str">
        <f t="shared" si="17"/>
        <v>D</v>
      </c>
    </row>
    <row r="1129" spans="1:5" x14ac:dyDescent="0.3">
      <c r="A1129" s="53" t="s">
        <v>1725</v>
      </c>
      <c r="B1129" s="41" t="s">
        <v>2356</v>
      </c>
      <c r="C1129" s="41" t="s">
        <v>2200</v>
      </c>
      <c r="D1129" s="48">
        <v>34795</v>
      </c>
      <c r="E1129" s="58" t="str">
        <f t="shared" si="17"/>
        <v>D</v>
      </c>
    </row>
    <row r="1130" spans="1:5" x14ac:dyDescent="0.3">
      <c r="A1130" s="53" t="s">
        <v>1726</v>
      </c>
      <c r="B1130" s="41" t="s">
        <v>2326</v>
      </c>
      <c r="C1130" s="41" t="s">
        <v>2327</v>
      </c>
      <c r="D1130" s="48">
        <v>8795</v>
      </c>
      <c r="E1130" s="58" t="str">
        <f t="shared" si="17"/>
        <v>B</v>
      </c>
    </row>
    <row r="1131" spans="1:5" x14ac:dyDescent="0.3">
      <c r="A1131" s="53" t="s">
        <v>1727</v>
      </c>
      <c r="B1131" s="41" t="s">
        <v>2328</v>
      </c>
      <c r="C1131" s="41" t="s">
        <v>2329</v>
      </c>
      <c r="D1131" s="48">
        <v>6045</v>
      </c>
      <c r="E1131" s="58" t="str">
        <f t="shared" si="17"/>
        <v>B</v>
      </c>
    </row>
    <row r="1132" spans="1:5" x14ac:dyDescent="0.3">
      <c r="A1132" s="53" t="s">
        <v>1728</v>
      </c>
      <c r="B1132" s="41" t="s">
        <v>2330</v>
      </c>
      <c r="C1132" s="41" t="s">
        <v>2331</v>
      </c>
      <c r="D1132" s="48">
        <v>10995</v>
      </c>
      <c r="E1132" s="58" t="str">
        <f t="shared" si="17"/>
        <v>C</v>
      </c>
    </row>
    <row r="1133" spans="1:5" x14ac:dyDescent="0.3">
      <c r="A1133" s="53" t="s">
        <v>1729</v>
      </c>
      <c r="B1133" s="41" t="s">
        <v>2332</v>
      </c>
      <c r="C1133" s="41" t="s">
        <v>2332</v>
      </c>
      <c r="D1133" s="48">
        <v>5495</v>
      </c>
      <c r="E1133" s="58" t="str">
        <f t="shared" si="17"/>
        <v>B</v>
      </c>
    </row>
    <row r="1134" spans="1:5" x14ac:dyDescent="0.3">
      <c r="A1134" s="53" t="s">
        <v>1730</v>
      </c>
      <c r="B1134" s="41" t="s">
        <v>2333</v>
      </c>
      <c r="C1134" s="41" t="s">
        <v>2333</v>
      </c>
      <c r="D1134" s="48">
        <v>7695</v>
      </c>
      <c r="E1134" s="58" t="str">
        <f t="shared" si="17"/>
        <v>B</v>
      </c>
    </row>
    <row r="1135" spans="1:5" x14ac:dyDescent="0.3">
      <c r="A1135" s="53" t="s">
        <v>1731</v>
      </c>
      <c r="B1135" s="41" t="s">
        <v>2310</v>
      </c>
      <c r="C1135" s="41" t="s">
        <v>329</v>
      </c>
      <c r="D1135" s="48">
        <v>14295</v>
      </c>
      <c r="E1135" s="58" t="str">
        <f t="shared" si="17"/>
        <v>C</v>
      </c>
    </row>
    <row r="1136" spans="1:5" x14ac:dyDescent="0.3">
      <c r="A1136" s="53" t="s">
        <v>1732</v>
      </c>
      <c r="B1136" s="41" t="s">
        <v>55</v>
      </c>
      <c r="C1136" s="41" t="s">
        <v>55</v>
      </c>
      <c r="D1136" s="48">
        <v>13195</v>
      </c>
      <c r="E1136" s="58" t="str">
        <f t="shared" si="17"/>
        <v>C</v>
      </c>
    </row>
    <row r="1137" spans="1:5" x14ac:dyDescent="0.3">
      <c r="A1137" s="53" t="s">
        <v>1733</v>
      </c>
      <c r="B1137" s="41" t="s">
        <v>2334</v>
      </c>
      <c r="C1137" s="41" t="s">
        <v>2314</v>
      </c>
      <c r="D1137" s="48">
        <v>7695</v>
      </c>
      <c r="E1137" s="58" t="str">
        <f t="shared" si="17"/>
        <v>B</v>
      </c>
    </row>
    <row r="1138" spans="1:5" x14ac:dyDescent="0.3">
      <c r="A1138" s="53" t="s">
        <v>1734</v>
      </c>
      <c r="B1138" s="41" t="s">
        <v>334</v>
      </c>
      <c r="C1138" s="41" t="s">
        <v>335</v>
      </c>
      <c r="D1138" s="48">
        <v>7695</v>
      </c>
      <c r="E1138" s="58" t="str">
        <f t="shared" si="17"/>
        <v>B</v>
      </c>
    </row>
    <row r="1139" spans="1:5" x14ac:dyDescent="0.3">
      <c r="A1139" s="53" t="s">
        <v>1735</v>
      </c>
      <c r="B1139" s="41" t="s">
        <v>336</v>
      </c>
      <c r="C1139" s="41" t="s">
        <v>337</v>
      </c>
      <c r="D1139" s="48">
        <v>10995</v>
      </c>
      <c r="E1139" s="58" t="str">
        <f t="shared" si="17"/>
        <v>C</v>
      </c>
    </row>
    <row r="1140" spans="1:5" x14ac:dyDescent="0.3">
      <c r="A1140" s="53" t="s">
        <v>1736</v>
      </c>
      <c r="B1140" s="41" t="s">
        <v>536</v>
      </c>
      <c r="C1140" s="41" t="s">
        <v>537</v>
      </c>
      <c r="D1140" s="48">
        <v>2745</v>
      </c>
      <c r="E1140" s="58" t="str">
        <f t="shared" si="17"/>
        <v>B</v>
      </c>
    </row>
    <row r="1141" spans="1:5" x14ac:dyDescent="0.3">
      <c r="A1141" s="53" t="s">
        <v>1737</v>
      </c>
      <c r="B1141" s="41" t="s">
        <v>538</v>
      </c>
      <c r="C1141" s="41" t="s">
        <v>539</v>
      </c>
      <c r="D1141" s="48">
        <v>3845</v>
      </c>
      <c r="E1141" s="58" t="str">
        <f t="shared" si="17"/>
        <v>B</v>
      </c>
    </row>
    <row r="1142" spans="1:5" x14ac:dyDescent="0.3">
      <c r="A1142" s="53" t="s">
        <v>1738</v>
      </c>
      <c r="B1142" s="41" t="s">
        <v>542</v>
      </c>
      <c r="C1142" s="41" t="s">
        <v>543</v>
      </c>
      <c r="D1142" s="48">
        <v>10995</v>
      </c>
      <c r="E1142" s="58" t="str">
        <f t="shared" si="17"/>
        <v>C</v>
      </c>
    </row>
    <row r="1143" spans="1:5" x14ac:dyDescent="0.3">
      <c r="A1143" s="53" t="s">
        <v>1739</v>
      </c>
      <c r="B1143" s="41" t="s">
        <v>535</v>
      </c>
      <c r="C1143" s="41" t="s">
        <v>535</v>
      </c>
      <c r="D1143" s="48">
        <v>1095</v>
      </c>
      <c r="E1143" s="58" t="str">
        <f t="shared" si="17"/>
        <v>B</v>
      </c>
    </row>
    <row r="1144" spans="1:5" x14ac:dyDescent="0.3">
      <c r="A1144" s="53" t="s">
        <v>1740</v>
      </c>
      <c r="B1144" s="41" t="s">
        <v>205</v>
      </c>
      <c r="C1144" s="41" t="s">
        <v>206</v>
      </c>
      <c r="D1144" s="48">
        <v>2745</v>
      </c>
      <c r="E1144" s="58" t="str">
        <f t="shared" si="17"/>
        <v>B</v>
      </c>
    </row>
    <row r="1145" spans="1:5" x14ac:dyDescent="0.3">
      <c r="A1145" s="53" t="s">
        <v>1741</v>
      </c>
      <c r="B1145" s="41" t="s">
        <v>207</v>
      </c>
      <c r="C1145" s="41" t="s">
        <v>208</v>
      </c>
      <c r="D1145" s="48">
        <v>5495</v>
      </c>
      <c r="E1145" s="58" t="str">
        <f t="shared" si="17"/>
        <v>B</v>
      </c>
    </row>
    <row r="1146" spans="1:5" x14ac:dyDescent="0.3">
      <c r="A1146" s="53" t="s">
        <v>1742</v>
      </c>
      <c r="B1146" s="41" t="s">
        <v>2201</v>
      </c>
      <c r="C1146" s="41" t="s">
        <v>2201</v>
      </c>
      <c r="D1146" s="48">
        <v>1645</v>
      </c>
      <c r="E1146" s="58" t="str">
        <f t="shared" si="17"/>
        <v>B</v>
      </c>
    </row>
    <row r="1147" spans="1:5" x14ac:dyDescent="0.3">
      <c r="A1147" s="54" t="s">
        <v>1743</v>
      </c>
      <c r="B1147" s="33" t="s">
        <v>56</v>
      </c>
      <c r="C1147" s="33" t="s">
        <v>56</v>
      </c>
      <c r="D1147" s="48">
        <v>3295</v>
      </c>
      <c r="E1147" s="58" t="str">
        <f t="shared" si="17"/>
        <v>B</v>
      </c>
    </row>
    <row r="1148" spans="1:5" x14ac:dyDescent="0.3">
      <c r="A1148" s="53" t="s">
        <v>1744</v>
      </c>
      <c r="B1148" s="41" t="s">
        <v>2357</v>
      </c>
      <c r="C1148" s="41" t="s">
        <v>2357</v>
      </c>
      <c r="D1148" s="48">
        <v>1095</v>
      </c>
      <c r="E1148" s="58" t="str">
        <f t="shared" si="17"/>
        <v>B</v>
      </c>
    </row>
    <row r="1149" spans="1:5" x14ac:dyDescent="0.3">
      <c r="A1149" s="53" t="s">
        <v>1745</v>
      </c>
      <c r="B1149" s="41" t="s">
        <v>2202</v>
      </c>
      <c r="C1149" s="41" t="s">
        <v>2202</v>
      </c>
      <c r="D1149" s="48">
        <v>3995</v>
      </c>
      <c r="E1149" s="58" t="str">
        <f t="shared" si="17"/>
        <v>B</v>
      </c>
    </row>
    <row r="1150" spans="1:5" x14ac:dyDescent="0.3">
      <c r="A1150" s="54" t="s">
        <v>1746</v>
      </c>
      <c r="B1150" s="33" t="s">
        <v>2203</v>
      </c>
      <c r="C1150" s="33" t="s">
        <v>2203</v>
      </c>
      <c r="D1150" s="48">
        <v>7195</v>
      </c>
      <c r="E1150" s="58" t="str">
        <f t="shared" si="17"/>
        <v>B</v>
      </c>
    </row>
    <row r="1151" spans="1:5" x14ac:dyDescent="0.3">
      <c r="A1151" s="53" t="s">
        <v>1747</v>
      </c>
      <c r="B1151" s="41" t="s">
        <v>2204</v>
      </c>
      <c r="C1151" s="41" t="s">
        <v>2204</v>
      </c>
      <c r="D1151" s="48">
        <v>2195</v>
      </c>
      <c r="E1151" s="58" t="str">
        <f t="shared" si="17"/>
        <v>B</v>
      </c>
    </row>
    <row r="1152" spans="1:5" x14ac:dyDescent="0.3">
      <c r="A1152" s="53" t="s">
        <v>1748</v>
      </c>
      <c r="B1152" s="41" t="s">
        <v>2205</v>
      </c>
      <c r="C1152" s="41" t="s">
        <v>2205</v>
      </c>
      <c r="D1152" s="48">
        <v>4395</v>
      </c>
      <c r="E1152" s="58" t="str">
        <f t="shared" si="17"/>
        <v>B</v>
      </c>
    </row>
    <row r="1153" spans="1:5" x14ac:dyDescent="0.3">
      <c r="A1153" s="53" t="s">
        <v>1749</v>
      </c>
      <c r="B1153" s="41" t="s">
        <v>2206</v>
      </c>
      <c r="C1153" s="41" t="s">
        <v>2206</v>
      </c>
      <c r="D1153" s="48">
        <v>7195</v>
      </c>
      <c r="E1153" s="58" t="str">
        <f t="shared" si="17"/>
        <v>B</v>
      </c>
    </row>
    <row r="1154" spans="1:5" x14ac:dyDescent="0.3">
      <c r="A1154" s="53" t="s">
        <v>1750</v>
      </c>
      <c r="B1154" s="41" t="s">
        <v>2207</v>
      </c>
      <c r="C1154" s="41" t="s">
        <v>2207</v>
      </c>
      <c r="D1154" s="48">
        <v>2795</v>
      </c>
      <c r="E1154" s="58" t="str">
        <f t="shared" si="17"/>
        <v>B</v>
      </c>
    </row>
    <row r="1155" spans="1:5" x14ac:dyDescent="0.3">
      <c r="A1155" s="53" t="s">
        <v>1751</v>
      </c>
      <c r="B1155" s="41" t="s">
        <v>2208</v>
      </c>
      <c r="C1155" s="41" t="s">
        <v>2208</v>
      </c>
      <c r="D1155" s="48">
        <v>8795</v>
      </c>
      <c r="E1155" s="58" t="str">
        <f t="shared" si="17"/>
        <v>B</v>
      </c>
    </row>
    <row r="1156" spans="1:5" x14ac:dyDescent="0.3">
      <c r="A1156" s="53" t="s">
        <v>1752</v>
      </c>
      <c r="B1156" s="41" t="s">
        <v>2209</v>
      </c>
      <c r="C1156" s="41" t="s">
        <v>2209</v>
      </c>
      <c r="D1156" s="48">
        <v>11495</v>
      </c>
      <c r="E1156" s="58" t="str">
        <f t="shared" si="17"/>
        <v>C</v>
      </c>
    </row>
    <row r="1157" spans="1:5" x14ac:dyDescent="0.3">
      <c r="A1157" s="53" t="s">
        <v>1753</v>
      </c>
      <c r="B1157" s="41" t="s">
        <v>2210</v>
      </c>
      <c r="C1157" s="41" t="s">
        <v>2210</v>
      </c>
      <c r="D1157" s="48">
        <v>7195</v>
      </c>
      <c r="E1157" s="58" t="str">
        <f t="shared" ref="E1157:E1220" si="18">VLOOKUP(D1157,$G$4:$H$7,2)</f>
        <v>B</v>
      </c>
    </row>
    <row r="1158" spans="1:5" x14ac:dyDescent="0.3">
      <c r="A1158" s="53" t="s">
        <v>1754</v>
      </c>
      <c r="B1158" s="41" t="s">
        <v>590</v>
      </c>
      <c r="C1158" s="41" t="s">
        <v>174</v>
      </c>
      <c r="D1158" s="48">
        <v>490</v>
      </c>
      <c r="E1158" s="58" t="str">
        <f t="shared" si="18"/>
        <v>A</v>
      </c>
    </row>
    <row r="1159" spans="1:5" x14ac:dyDescent="0.3">
      <c r="A1159" s="53" t="s">
        <v>1755</v>
      </c>
      <c r="B1159" s="41" t="s">
        <v>592</v>
      </c>
      <c r="C1159" s="41" t="s">
        <v>175</v>
      </c>
      <c r="D1159" s="48">
        <v>490</v>
      </c>
      <c r="E1159" s="58" t="str">
        <f t="shared" si="18"/>
        <v>A</v>
      </c>
    </row>
    <row r="1160" spans="1:5" x14ac:dyDescent="0.3">
      <c r="A1160" s="53" t="s">
        <v>1756</v>
      </c>
      <c r="B1160" s="41" t="s">
        <v>173</v>
      </c>
      <c r="C1160" s="41" t="s">
        <v>176</v>
      </c>
      <c r="D1160" s="48">
        <v>1095</v>
      </c>
      <c r="E1160" s="58" t="str">
        <f t="shared" si="18"/>
        <v>B</v>
      </c>
    </row>
    <row r="1161" spans="1:5" x14ac:dyDescent="0.3">
      <c r="A1161" s="53" t="s">
        <v>1757</v>
      </c>
      <c r="B1161" s="41" t="s">
        <v>518</v>
      </c>
      <c r="C1161" s="41" t="s">
        <v>176</v>
      </c>
      <c r="D1161" s="48">
        <v>4395</v>
      </c>
      <c r="E1161" s="58" t="str">
        <f t="shared" si="18"/>
        <v>B</v>
      </c>
    </row>
    <row r="1162" spans="1:5" x14ac:dyDescent="0.3">
      <c r="A1162" s="53" t="s">
        <v>1758</v>
      </c>
      <c r="B1162" s="41" t="s">
        <v>359</v>
      </c>
      <c r="C1162" s="41" t="s">
        <v>360</v>
      </c>
      <c r="D1162" s="48">
        <v>325</v>
      </c>
      <c r="E1162" s="58" t="str">
        <f t="shared" si="18"/>
        <v>A</v>
      </c>
    </row>
    <row r="1163" spans="1:5" x14ac:dyDescent="0.3">
      <c r="A1163" s="53" t="s">
        <v>1759</v>
      </c>
      <c r="B1163" s="41" t="s">
        <v>57</v>
      </c>
      <c r="C1163" s="41" t="s">
        <v>57</v>
      </c>
      <c r="D1163" s="48">
        <v>35195</v>
      </c>
      <c r="E1163" s="58" t="str">
        <f t="shared" si="18"/>
        <v>D</v>
      </c>
    </row>
    <row r="1164" spans="1:5" x14ac:dyDescent="0.3">
      <c r="A1164" s="53" t="s">
        <v>1760</v>
      </c>
      <c r="B1164" s="41" t="s">
        <v>58</v>
      </c>
      <c r="C1164" s="41" t="s">
        <v>58</v>
      </c>
      <c r="D1164" s="48">
        <v>29695</v>
      </c>
      <c r="E1164" s="58" t="str">
        <f t="shared" si="18"/>
        <v>D</v>
      </c>
    </row>
    <row r="1165" spans="1:5" x14ac:dyDescent="0.3">
      <c r="A1165" s="53" t="s">
        <v>1761</v>
      </c>
      <c r="B1165" s="41" t="s">
        <v>59</v>
      </c>
      <c r="C1165" s="41" t="s">
        <v>59</v>
      </c>
      <c r="D1165" s="48">
        <v>16495</v>
      </c>
      <c r="E1165" s="58" t="str">
        <f t="shared" si="18"/>
        <v>C</v>
      </c>
    </row>
    <row r="1166" spans="1:5" x14ac:dyDescent="0.3">
      <c r="A1166" s="53" t="s">
        <v>1762</v>
      </c>
      <c r="B1166" s="41" t="s">
        <v>60</v>
      </c>
      <c r="C1166" s="41" t="s">
        <v>60</v>
      </c>
      <c r="D1166" s="48">
        <v>21995</v>
      </c>
      <c r="E1166" s="58" t="str">
        <f t="shared" si="18"/>
        <v>C</v>
      </c>
    </row>
    <row r="1167" spans="1:5" x14ac:dyDescent="0.3">
      <c r="A1167" s="53" t="s">
        <v>1763</v>
      </c>
      <c r="B1167" s="41" t="s">
        <v>61</v>
      </c>
      <c r="C1167" s="41" t="s">
        <v>61</v>
      </c>
      <c r="D1167" s="48">
        <v>17595</v>
      </c>
      <c r="E1167" s="58" t="str">
        <f t="shared" si="18"/>
        <v>C</v>
      </c>
    </row>
    <row r="1168" spans="1:5" x14ac:dyDescent="0.3">
      <c r="A1168" s="53" t="s">
        <v>1764</v>
      </c>
      <c r="B1168" s="41" t="s">
        <v>62</v>
      </c>
      <c r="C1168" s="41" t="s">
        <v>62</v>
      </c>
      <c r="D1168" s="48">
        <v>25295</v>
      </c>
      <c r="E1168" s="58" t="str">
        <f t="shared" si="18"/>
        <v>D</v>
      </c>
    </row>
    <row r="1169" spans="1:5" x14ac:dyDescent="0.3">
      <c r="A1169" s="53" t="s">
        <v>1765</v>
      </c>
      <c r="B1169" s="41" t="s">
        <v>63</v>
      </c>
      <c r="C1169" s="41" t="s">
        <v>63</v>
      </c>
      <c r="D1169" s="48">
        <v>10995</v>
      </c>
      <c r="E1169" s="58" t="str">
        <f t="shared" si="18"/>
        <v>C</v>
      </c>
    </row>
    <row r="1170" spans="1:5" x14ac:dyDescent="0.3">
      <c r="A1170" s="53" t="s">
        <v>1766</v>
      </c>
      <c r="B1170" s="41" t="s">
        <v>64</v>
      </c>
      <c r="C1170" s="41" t="s">
        <v>64</v>
      </c>
      <c r="D1170" s="48">
        <v>19795</v>
      </c>
      <c r="E1170" s="58" t="str">
        <f t="shared" si="18"/>
        <v>C</v>
      </c>
    </row>
    <row r="1171" spans="1:5" x14ac:dyDescent="0.3">
      <c r="A1171" s="53" t="s">
        <v>1767</v>
      </c>
      <c r="B1171" s="41" t="s">
        <v>2211</v>
      </c>
      <c r="C1171" s="41" t="s">
        <v>2211</v>
      </c>
      <c r="D1171" s="48">
        <v>8795</v>
      </c>
      <c r="E1171" s="58" t="str">
        <f t="shared" si="18"/>
        <v>B</v>
      </c>
    </row>
    <row r="1172" spans="1:5" x14ac:dyDescent="0.3">
      <c r="A1172" s="53" t="s">
        <v>1768</v>
      </c>
      <c r="B1172" s="41" t="s">
        <v>2212</v>
      </c>
      <c r="C1172" s="41" t="s">
        <v>2212</v>
      </c>
      <c r="D1172" s="48">
        <v>4395</v>
      </c>
      <c r="E1172" s="58" t="str">
        <f t="shared" si="18"/>
        <v>B</v>
      </c>
    </row>
    <row r="1173" spans="1:5" x14ac:dyDescent="0.3">
      <c r="A1173" s="53" t="s">
        <v>1769</v>
      </c>
      <c r="B1173" s="41" t="s">
        <v>65</v>
      </c>
      <c r="C1173" s="41" t="s">
        <v>66</v>
      </c>
      <c r="D1173" s="48">
        <v>3895</v>
      </c>
      <c r="E1173" s="58" t="str">
        <f t="shared" si="18"/>
        <v>B</v>
      </c>
    </row>
    <row r="1174" spans="1:5" x14ac:dyDescent="0.3">
      <c r="A1174" s="53" t="s">
        <v>1770</v>
      </c>
      <c r="B1174" s="41" t="s">
        <v>2213</v>
      </c>
      <c r="C1174" s="41" t="s">
        <v>67</v>
      </c>
      <c r="D1174" s="48">
        <v>10995</v>
      </c>
      <c r="E1174" s="58" t="str">
        <f t="shared" si="18"/>
        <v>C</v>
      </c>
    </row>
    <row r="1175" spans="1:5" x14ac:dyDescent="0.3">
      <c r="A1175" s="53" t="s">
        <v>1771</v>
      </c>
      <c r="B1175" s="41" t="s">
        <v>2214</v>
      </c>
      <c r="C1175" s="41" t="s">
        <v>68</v>
      </c>
      <c r="D1175" s="48">
        <v>10995</v>
      </c>
      <c r="E1175" s="58" t="str">
        <f t="shared" si="18"/>
        <v>C</v>
      </c>
    </row>
    <row r="1176" spans="1:5" x14ac:dyDescent="0.3">
      <c r="A1176" s="53" t="s">
        <v>1772</v>
      </c>
      <c r="B1176" s="41" t="s">
        <v>2215</v>
      </c>
      <c r="C1176" s="41" t="s">
        <v>69</v>
      </c>
      <c r="D1176" s="48">
        <v>10995</v>
      </c>
      <c r="E1176" s="58" t="str">
        <f t="shared" si="18"/>
        <v>C</v>
      </c>
    </row>
    <row r="1177" spans="1:5" x14ac:dyDescent="0.3">
      <c r="A1177" s="53" t="s">
        <v>1773</v>
      </c>
      <c r="B1177" s="41" t="s">
        <v>70</v>
      </c>
      <c r="C1177" s="41" t="s">
        <v>71</v>
      </c>
      <c r="D1177" s="48">
        <v>3295</v>
      </c>
      <c r="E1177" s="58" t="str">
        <f t="shared" si="18"/>
        <v>B</v>
      </c>
    </row>
    <row r="1178" spans="1:5" x14ac:dyDescent="0.3">
      <c r="A1178" s="53" t="s">
        <v>1774</v>
      </c>
      <c r="B1178" s="41" t="s">
        <v>2216</v>
      </c>
      <c r="C1178" s="41" t="s">
        <v>2217</v>
      </c>
      <c r="D1178" s="48">
        <v>2195</v>
      </c>
      <c r="E1178" s="58" t="str">
        <f t="shared" si="18"/>
        <v>B</v>
      </c>
    </row>
    <row r="1179" spans="1:5" x14ac:dyDescent="0.3">
      <c r="A1179" s="53" t="s">
        <v>1775</v>
      </c>
      <c r="B1179" s="41" t="s">
        <v>2216</v>
      </c>
      <c r="C1179" s="41" t="s">
        <v>2217</v>
      </c>
      <c r="D1179" s="48">
        <v>2195</v>
      </c>
      <c r="E1179" s="58" t="str">
        <f t="shared" si="18"/>
        <v>B</v>
      </c>
    </row>
    <row r="1180" spans="1:5" x14ac:dyDescent="0.3">
      <c r="A1180" s="53" t="s">
        <v>1776</v>
      </c>
      <c r="B1180" s="41" t="s">
        <v>2216</v>
      </c>
      <c r="C1180" s="41" t="s">
        <v>2217</v>
      </c>
      <c r="D1180" s="48">
        <v>2195</v>
      </c>
      <c r="E1180" s="58" t="str">
        <f t="shared" si="18"/>
        <v>B</v>
      </c>
    </row>
    <row r="1181" spans="1:5" x14ac:dyDescent="0.3">
      <c r="A1181" s="54" t="s">
        <v>1777</v>
      </c>
      <c r="B1181" s="33" t="s">
        <v>72</v>
      </c>
      <c r="C1181" s="33" t="s">
        <v>73</v>
      </c>
      <c r="D1181" s="48">
        <v>0</v>
      </c>
      <c r="E1181" s="58" t="str">
        <f t="shared" si="18"/>
        <v>A</v>
      </c>
    </row>
    <row r="1182" spans="1:5" x14ac:dyDescent="0.3">
      <c r="A1182" s="54" t="s">
        <v>1778</v>
      </c>
      <c r="B1182" s="33" t="s">
        <v>74</v>
      </c>
      <c r="C1182" s="33" t="s">
        <v>75</v>
      </c>
      <c r="D1182" s="48">
        <v>135845</v>
      </c>
      <c r="E1182" s="58" t="str">
        <f t="shared" si="18"/>
        <v>D</v>
      </c>
    </row>
    <row r="1183" spans="1:5" x14ac:dyDescent="0.3">
      <c r="A1183" s="54" t="s">
        <v>1779</v>
      </c>
      <c r="B1183" s="33" t="s">
        <v>76</v>
      </c>
      <c r="C1183" s="33" t="s">
        <v>77</v>
      </c>
      <c r="D1183" s="48">
        <v>182595</v>
      </c>
      <c r="E1183" s="58" t="str">
        <f t="shared" si="18"/>
        <v>D</v>
      </c>
    </row>
    <row r="1184" spans="1:5" x14ac:dyDescent="0.3">
      <c r="A1184" s="54" t="s">
        <v>1780</v>
      </c>
      <c r="B1184" s="33" t="s">
        <v>78</v>
      </c>
      <c r="C1184" s="33" t="s">
        <v>79</v>
      </c>
      <c r="D1184" s="48">
        <v>208995</v>
      </c>
      <c r="E1184" s="58" t="str">
        <f t="shared" si="18"/>
        <v>D</v>
      </c>
    </row>
    <row r="1185" spans="1:5" x14ac:dyDescent="0.3">
      <c r="A1185" s="54" t="s">
        <v>1781</v>
      </c>
      <c r="B1185" s="33" t="s">
        <v>80</v>
      </c>
      <c r="C1185" s="33" t="s">
        <v>81</v>
      </c>
      <c r="D1185" s="48">
        <v>42895</v>
      </c>
      <c r="E1185" s="58" t="str">
        <f t="shared" si="18"/>
        <v>D</v>
      </c>
    </row>
    <row r="1186" spans="1:5" x14ac:dyDescent="0.3">
      <c r="A1186" s="54" t="s">
        <v>1782</v>
      </c>
      <c r="B1186" s="33" t="s">
        <v>82</v>
      </c>
      <c r="C1186" s="33" t="s">
        <v>83</v>
      </c>
      <c r="D1186" s="48">
        <v>10995</v>
      </c>
      <c r="E1186" s="58" t="str">
        <f t="shared" si="18"/>
        <v>C</v>
      </c>
    </row>
    <row r="1187" spans="1:5" x14ac:dyDescent="0.3">
      <c r="A1187" s="54" t="s">
        <v>1783</v>
      </c>
      <c r="B1187" s="33" t="s">
        <v>84</v>
      </c>
      <c r="C1187" s="33" t="s">
        <v>85</v>
      </c>
      <c r="D1187" s="48">
        <v>42895</v>
      </c>
      <c r="E1187" s="58" t="str">
        <f t="shared" si="18"/>
        <v>D</v>
      </c>
    </row>
    <row r="1188" spans="1:5" x14ac:dyDescent="0.3">
      <c r="A1188" s="54" t="s">
        <v>1784</v>
      </c>
      <c r="B1188" s="33" t="s">
        <v>86</v>
      </c>
      <c r="C1188" s="33" t="s">
        <v>87</v>
      </c>
      <c r="D1188" s="48">
        <v>64895</v>
      </c>
      <c r="E1188" s="58" t="str">
        <f t="shared" si="18"/>
        <v>D</v>
      </c>
    </row>
    <row r="1189" spans="1:5" x14ac:dyDescent="0.3">
      <c r="A1189" s="54" t="s">
        <v>1785</v>
      </c>
      <c r="B1189" s="33" t="s">
        <v>88</v>
      </c>
      <c r="C1189" s="33" t="s">
        <v>89</v>
      </c>
      <c r="D1189" s="48">
        <v>271695</v>
      </c>
      <c r="E1189" s="58" t="str">
        <f t="shared" si="18"/>
        <v>D</v>
      </c>
    </row>
    <row r="1190" spans="1:5" x14ac:dyDescent="0.3">
      <c r="A1190" s="53" t="s">
        <v>1786</v>
      </c>
      <c r="B1190" s="41" t="s">
        <v>90</v>
      </c>
      <c r="C1190" s="41" t="s">
        <v>90</v>
      </c>
      <c r="D1190" s="48">
        <v>66</v>
      </c>
      <c r="E1190" s="58" t="str">
        <f t="shared" si="18"/>
        <v>A</v>
      </c>
    </row>
    <row r="1191" spans="1:5" x14ac:dyDescent="0.3">
      <c r="A1191" s="54" t="s">
        <v>1787</v>
      </c>
      <c r="B1191" s="33" t="s">
        <v>2304</v>
      </c>
      <c r="C1191" s="33" t="s">
        <v>2305</v>
      </c>
      <c r="D1191" s="48">
        <v>88</v>
      </c>
      <c r="E1191" s="58" t="str">
        <f t="shared" si="18"/>
        <v>A</v>
      </c>
    </row>
    <row r="1192" spans="1:5" x14ac:dyDescent="0.3">
      <c r="A1192" s="54" t="s">
        <v>1788</v>
      </c>
      <c r="B1192" s="33" t="s">
        <v>1866</v>
      </c>
      <c r="C1192" s="33" t="s">
        <v>91</v>
      </c>
      <c r="D1192" s="48">
        <v>88</v>
      </c>
      <c r="E1192" s="58" t="str">
        <f t="shared" si="18"/>
        <v>A</v>
      </c>
    </row>
    <row r="1193" spans="1:5" x14ac:dyDescent="0.3">
      <c r="A1193" s="53" t="s">
        <v>1789</v>
      </c>
      <c r="B1193" s="41" t="s">
        <v>92</v>
      </c>
      <c r="C1193" s="41" t="s">
        <v>93</v>
      </c>
      <c r="D1193" s="48">
        <v>11</v>
      </c>
      <c r="E1193" s="58" t="str">
        <f t="shared" si="18"/>
        <v>A</v>
      </c>
    </row>
    <row r="1194" spans="1:5" x14ac:dyDescent="0.3">
      <c r="A1194" s="53" t="s">
        <v>1790</v>
      </c>
      <c r="B1194" s="41" t="s">
        <v>94</v>
      </c>
      <c r="C1194" s="41" t="s">
        <v>95</v>
      </c>
      <c r="D1194" s="48">
        <v>138</v>
      </c>
      <c r="E1194" s="58" t="str">
        <f t="shared" si="18"/>
        <v>A</v>
      </c>
    </row>
    <row r="1195" spans="1:5" x14ac:dyDescent="0.3">
      <c r="A1195" s="54" t="s">
        <v>1791</v>
      </c>
      <c r="B1195" s="33" t="s">
        <v>2218</v>
      </c>
      <c r="C1195" s="33" t="s">
        <v>2218</v>
      </c>
      <c r="D1195" s="32">
        <v>72</v>
      </c>
      <c r="E1195" s="58" t="str">
        <f t="shared" si="18"/>
        <v>A</v>
      </c>
    </row>
    <row r="1196" spans="1:5" x14ac:dyDescent="0.3">
      <c r="A1196" s="54" t="s">
        <v>1792</v>
      </c>
      <c r="B1196" s="33" t="s">
        <v>2219</v>
      </c>
      <c r="C1196" s="33" t="s">
        <v>2219</v>
      </c>
      <c r="D1196" s="32">
        <v>83</v>
      </c>
      <c r="E1196" s="58" t="str">
        <f t="shared" si="18"/>
        <v>A</v>
      </c>
    </row>
    <row r="1197" spans="1:5" x14ac:dyDescent="0.3">
      <c r="A1197" s="54" t="s">
        <v>1793</v>
      </c>
      <c r="B1197" s="33" t="s">
        <v>2220</v>
      </c>
      <c r="C1197" s="33" t="s">
        <v>2220</v>
      </c>
      <c r="D1197" s="32">
        <v>105</v>
      </c>
      <c r="E1197" s="58" t="str">
        <f t="shared" si="18"/>
        <v>A</v>
      </c>
    </row>
    <row r="1198" spans="1:5" x14ac:dyDescent="0.3">
      <c r="A1198" s="53" t="s">
        <v>1794</v>
      </c>
      <c r="B1198" s="41" t="s">
        <v>96</v>
      </c>
      <c r="C1198" s="41" t="s">
        <v>97</v>
      </c>
      <c r="D1198" s="48">
        <v>825</v>
      </c>
      <c r="E1198" s="58" t="str">
        <f t="shared" si="18"/>
        <v>A</v>
      </c>
    </row>
    <row r="1199" spans="1:5" x14ac:dyDescent="0.3">
      <c r="A1199" s="53" t="s">
        <v>1795</v>
      </c>
      <c r="B1199" s="41" t="s">
        <v>98</v>
      </c>
      <c r="C1199" s="41" t="s">
        <v>99</v>
      </c>
      <c r="D1199" s="48">
        <v>33</v>
      </c>
      <c r="E1199" s="58" t="str">
        <f t="shared" si="18"/>
        <v>A</v>
      </c>
    </row>
    <row r="1200" spans="1:5" x14ac:dyDescent="0.3">
      <c r="A1200" s="53" t="s">
        <v>1796</v>
      </c>
      <c r="B1200" s="41" t="s">
        <v>100</v>
      </c>
      <c r="C1200" s="41" t="s">
        <v>101</v>
      </c>
      <c r="D1200" s="48">
        <v>33</v>
      </c>
      <c r="E1200" s="58" t="str">
        <f t="shared" si="18"/>
        <v>A</v>
      </c>
    </row>
    <row r="1201" spans="1:5" x14ac:dyDescent="0.3">
      <c r="A1201" s="53" t="s">
        <v>1797</v>
      </c>
      <c r="B1201" s="41" t="s">
        <v>102</v>
      </c>
      <c r="C1201" s="41" t="s">
        <v>103</v>
      </c>
      <c r="D1201" s="48">
        <v>66</v>
      </c>
      <c r="E1201" s="58" t="str">
        <f t="shared" si="18"/>
        <v>A</v>
      </c>
    </row>
    <row r="1202" spans="1:5" x14ac:dyDescent="0.3">
      <c r="A1202" s="53" t="s">
        <v>1798</v>
      </c>
      <c r="B1202" s="41" t="s">
        <v>104</v>
      </c>
      <c r="C1202" s="41" t="s">
        <v>105</v>
      </c>
      <c r="D1202" s="48">
        <v>55</v>
      </c>
      <c r="E1202" s="58" t="str">
        <f t="shared" si="18"/>
        <v>A</v>
      </c>
    </row>
    <row r="1203" spans="1:5" x14ac:dyDescent="0.3">
      <c r="A1203" s="53" t="s">
        <v>1799</v>
      </c>
      <c r="B1203" s="41" t="s">
        <v>1862</v>
      </c>
      <c r="C1203" s="41" t="s">
        <v>106</v>
      </c>
      <c r="D1203" s="48">
        <v>55</v>
      </c>
      <c r="E1203" s="58" t="str">
        <f t="shared" si="18"/>
        <v>A</v>
      </c>
    </row>
    <row r="1204" spans="1:5" x14ac:dyDescent="0.3">
      <c r="A1204" s="53" t="s">
        <v>1800</v>
      </c>
      <c r="B1204" s="41" t="s">
        <v>107</v>
      </c>
      <c r="C1204" s="41" t="s">
        <v>108</v>
      </c>
      <c r="D1204" s="48">
        <v>138</v>
      </c>
      <c r="E1204" s="58" t="str">
        <f t="shared" si="18"/>
        <v>A</v>
      </c>
    </row>
    <row r="1205" spans="1:5" x14ac:dyDescent="0.3">
      <c r="A1205" s="53" t="s">
        <v>1801</v>
      </c>
      <c r="B1205" s="41" t="s">
        <v>109</v>
      </c>
      <c r="C1205" s="41" t="s">
        <v>110</v>
      </c>
      <c r="D1205" s="48">
        <v>138</v>
      </c>
      <c r="E1205" s="58" t="str">
        <f t="shared" si="18"/>
        <v>A</v>
      </c>
    </row>
    <row r="1206" spans="1:5" x14ac:dyDescent="0.3">
      <c r="A1206" s="53" t="s">
        <v>1802</v>
      </c>
      <c r="B1206" s="41" t="s">
        <v>111</v>
      </c>
      <c r="C1206" s="41" t="s">
        <v>112</v>
      </c>
      <c r="D1206" s="48">
        <v>165</v>
      </c>
      <c r="E1206" s="58" t="str">
        <f t="shared" si="18"/>
        <v>A</v>
      </c>
    </row>
    <row r="1207" spans="1:5" x14ac:dyDescent="0.3">
      <c r="A1207" s="53" t="s">
        <v>1803</v>
      </c>
      <c r="B1207" s="41" t="s">
        <v>113</v>
      </c>
      <c r="C1207" s="41" t="s">
        <v>114</v>
      </c>
      <c r="D1207" s="48">
        <v>11</v>
      </c>
      <c r="E1207" s="58" t="str">
        <f t="shared" si="18"/>
        <v>A</v>
      </c>
    </row>
    <row r="1208" spans="1:5" x14ac:dyDescent="0.3">
      <c r="A1208" s="53" t="s">
        <v>1804</v>
      </c>
      <c r="B1208" s="41" t="s">
        <v>115</v>
      </c>
      <c r="C1208" s="41" t="s">
        <v>114</v>
      </c>
      <c r="D1208" s="48">
        <v>11</v>
      </c>
      <c r="E1208" s="58" t="str">
        <f t="shared" si="18"/>
        <v>A</v>
      </c>
    </row>
    <row r="1209" spans="1:5" x14ac:dyDescent="0.3">
      <c r="A1209" s="53" t="s">
        <v>1805</v>
      </c>
      <c r="B1209" s="41" t="s">
        <v>116</v>
      </c>
      <c r="C1209" s="41" t="s">
        <v>117</v>
      </c>
      <c r="D1209" s="48">
        <v>17</v>
      </c>
      <c r="E1209" s="58" t="str">
        <f t="shared" si="18"/>
        <v>A</v>
      </c>
    </row>
    <row r="1210" spans="1:5" x14ac:dyDescent="0.3">
      <c r="A1210" s="53" t="s">
        <v>1806</v>
      </c>
      <c r="B1210" s="41" t="s">
        <v>118</v>
      </c>
      <c r="C1210" s="41" t="s">
        <v>119</v>
      </c>
      <c r="D1210" s="48">
        <v>17</v>
      </c>
      <c r="E1210" s="58" t="str">
        <f t="shared" si="18"/>
        <v>A</v>
      </c>
    </row>
    <row r="1211" spans="1:5" x14ac:dyDescent="0.3">
      <c r="A1211" s="53" t="s">
        <v>1807</v>
      </c>
      <c r="B1211" s="41" t="s">
        <v>120</v>
      </c>
      <c r="C1211" s="41" t="s">
        <v>121</v>
      </c>
      <c r="D1211" s="48">
        <v>17</v>
      </c>
      <c r="E1211" s="58" t="str">
        <f t="shared" si="18"/>
        <v>A</v>
      </c>
    </row>
    <row r="1212" spans="1:5" x14ac:dyDescent="0.3">
      <c r="A1212" s="53" t="s">
        <v>1808</v>
      </c>
      <c r="B1212" s="41" t="s">
        <v>122</v>
      </c>
      <c r="C1212" s="41" t="s">
        <v>123</v>
      </c>
      <c r="D1212" s="48">
        <v>33</v>
      </c>
      <c r="E1212" s="58" t="str">
        <f t="shared" si="18"/>
        <v>A</v>
      </c>
    </row>
    <row r="1213" spans="1:5" x14ac:dyDescent="0.3">
      <c r="A1213" s="53" t="s">
        <v>1809</v>
      </c>
      <c r="B1213" s="41" t="s">
        <v>124</v>
      </c>
      <c r="C1213" s="41" t="s">
        <v>125</v>
      </c>
      <c r="D1213" s="48">
        <v>83</v>
      </c>
      <c r="E1213" s="58" t="str">
        <f t="shared" si="18"/>
        <v>A</v>
      </c>
    </row>
    <row r="1214" spans="1:5" x14ac:dyDescent="0.3">
      <c r="A1214" s="53" t="s">
        <v>1810</v>
      </c>
      <c r="B1214" s="41" t="s">
        <v>126</v>
      </c>
      <c r="C1214" s="41" t="s">
        <v>127</v>
      </c>
      <c r="D1214" s="48">
        <v>39</v>
      </c>
      <c r="E1214" s="58" t="str">
        <f t="shared" si="18"/>
        <v>A</v>
      </c>
    </row>
    <row r="1215" spans="1:5" x14ac:dyDescent="0.3">
      <c r="A1215" s="53" t="s">
        <v>1811</v>
      </c>
      <c r="B1215" s="41" t="s">
        <v>128</v>
      </c>
      <c r="C1215" s="41" t="s">
        <v>129</v>
      </c>
      <c r="D1215" s="48">
        <v>39</v>
      </c>
      <c r="E1215" s="58" t="str">
        <f t="shared" si="18"/>
        <v>A</v>
      </c>
    </row>
    <row r="1216" spans="1:5" x14ac:dyDescent="0.3">
      <c r="A1216" s="54" t="s">
        <v>1812</v>
      </c>
      <c r="B1216" s="33" t="s">
        <v>130</v>
      </c>
      <c r="C1216" s="33" t="s">
        <v>131</v>
      </c>
      <c r="D1216" s="48">
        <v>76</v>
      </c>
      <c r="E1216" s="58" t="str">
        <f t="shared" si="18"/>
        <v>A</v>
      </c>
    </row>
    <row r="1217" spans="1:5" x14ac:dyDescent="0.3">
      <c r="A1217" s="54" t="s">
        <v>1813</v>
      </c>
      <c r="B1217" s="33" t="s">
        <v>1867</v>
      </c>
      <c r="C1217" s="33" t="s">
        <v>132</v>
      </c>
      <c r="D1217" s="32">
        <v>66</v>
      </c>
      <c r="E1217" s="58" t="str">
        <f t="shared" si="18"/>
        <v>A</v>
      </c>
    </row>
    <row r="1218" spans="1:5" x14ac:dyDescent="0.3">
      <c r="A1218" s="53" t="s">
        <v>1814</v>
      </c>
      <c r="B1218" s="41" t="s">
        <v>133</v>
      </c>
      <c r="C1218" s="41" t="s">
        <v>133</v>
      </c>
      <c r="D1218" s="48">
        <v>39</v>
      </c>
      <c r="E1218" s="58" t="str">
        <f t="shared" si="18"/>
        <v>A</v>
      </c>
    </row>
    <row r="1219" spans="1:5" x14ac:dyDescent="0.3">
      <c r="A1219" s="54" t="s">
        <v>1815</v>
      </c>
      <c r="B1219" s="33" t="s">
        <v>134</v>
      </c>
      <c r="C1219" s="33" t="s">
        <v>134</v>
      </c>
      <c r="D1219" s="32">
        <v>39</v>
      </c>
      <c r="E1219" s="58" t="str">
        <f t="shared" si="18"/>
        <v>A</v>
      </c>
    </row>
    <row r="1220" spans="1:5" x14ac:dyDescent="0.3">
      <c r="A1220" s="54" t="s">
        <v>1816</v>
      </c>
      <c r="B1220" s="33" t="s">
        <v>135</v>
      </c>
      <c r="C1220" s="33" t="s">
        <v>135</v>
      </c>
      <c r="D1220" s="32">
        <v>39</v>
      </c>
      <c r="E1220" s="58" t="str">
        <f t="shared" si="18"/>
        <v>A</v>
      </c>
    </row>
    <row r="1221" spans="1:5" x14ac:dyDescent="0.3">
      <c r="A1221" s="53" t="s">
        <v>1817</v>
      </c>
      <c r="B1221" s="41" t="s">
        <v>1863</v>
      </c>
      <c r="C1221" s="41" t="s">
        <v>136</v>
      </c>
      <c r="D1221" s="48">
        <v>48</v>
      </c>
      <c r="E1221" s="58" t="str">
        <f t="shared" ref="E1221:E1254" si="19">VLOOKUP(D1221,$G$4:$H$7,2)</f>
        <v>A</v>
      </c>
    </row>
    <row r="1222" spans="1:5" x14ac:dyDescent="0.3">
      <c r="A1222" s="54" t="s">
        <v>1818</v>
      </c>
      <c r="B1222" s="33" t="s">
        <v>2306</v>
      </c>
      <c r="C1222" s="33" t="s">
        <v>137</v>
      </c>
      <c r="D1222" s="32">
        <v>105</v>
      </c>
      <c r="E1222" s="58" t="str">
        <f t="shared" si="19"/>
        <v>A</v>
      </c>
    </row>
    <row r="1223" spans="1:5" x14ac:dyDescent="0.3">
      <c r="A1223" s="54" t="s">
        <v>1819</v>
      </c>
      <c r="B1223" s="33" t="s">
        <v>504</v>
      </c>
      <c r="C1223" s="33" t="s">
        <v>504</v>
      </c>
      <c r="D1223" s="32">
        <v>75</v>
      </c>
      <c r="E1223" s="58" t="str">
        <f t="shared" si="19"/>
        <v>A</v>
      </c>
    </row>
    <row r="1224" spans="1:5" x14ac:dyDescent="0.3">
      <c r="A1224" s="53" t="s">
        <v>1820</v>
      </c>
      <c r="B1224" s="41" t="s">
        <v>138</v>
      </c>
      <c r="C1224" s="41" t="s">
        <v>139</v>
      </c>
      <c r="D1224" s="48">
        <v>66</v>
      </c>
      <c r="E1224" s="58" t="str">
        <f t="shared" si="19"/>
        <v>A</v>
      </c>
    </row>
    <row r="1225" spans="1:5" x14ac:dyDescent="0.3">
      <c r="A1225" s="53" t="s">
        <v>1821</v>
      </c>
      <c r="B1225" s="41" t="s">
        <v>140</v>
      </c>
      <c r="C1225" s="41" t="s">
        <v>141</v>
      </c>
      <c r="D1225" s="48">
        <v>66</v>
      </c>
      <c r="E1225" s="58" t="str">
        <f t="shared" si="19"/>
        <v>A</v>
      </c>
    </row>
    <row r="1226" spans="1:5" x14ac:dyDescent="0.3">
      <c r="A1226" s="53" t="s">
        <v>1822</v>
      </c>
      <c r="B1226" s="41" t="s">
        <v>142</v>
      </c>
      <c r="C1226" s="41" t="s">
        <v>143</v>
      </c>
      <c r="D1226" s="48">
        <v>66</v>
      </c>
      <c r="E1226" s="58" t="str">
        <f t="shared" si="19"/>
        <v>A</v>
      </c>
    </row>
    <row r="1227" spans="1:5" x14ac:dyDescent="0.3">
      <c r="A1227" s="53" t="s">
        <v>1823</v>
      </c>
      <c r="B1227" s="41" t="s">
        <v>144</v>
      </c>
      <c r="C1227" s="41" t="s">
        <v>145</v>
      </c>
      <c r="D1227" s="48">
        <v>88</v>
      </c>
      <c r="E1227" s="58" t="str">
        <f t="shared" si="19"/>
        <v>A</v>
      </c>
    </row>
    <row r="1228" spans="1:5" x14ac:dyDescent="0.3">
      <c r="A1228" s="53" t="s">
        <v>1824</v>
      </c>
      <c r="B1228" s="41" t="s">
        <v>146</v>
      </c>
      <c r="C1228" s="41" t="s">
        <v>33</v>
      </c>
      <c r="D1228" s="48">
        <v>44</v>
      </c>
      <c r="E1228" s="58" t="str">
        <f t="shared" si="19"/>
        <v>A</v>
      </c>
    </row>
    <row r="1229" spans="1:5" x14ac:dyDescent="0.3">
      <c r="A1229" s="53" t="s">
        <v>1825</v>
      </c>
      <c r="B1229" s="41" t="s">
        <v>147</v>
      </c>
      <c r="C1229" s="41" t="s">
        <v>148</v>
      </c>
      <c r="D1229" s="48">
        <v>330</v>
      </c>
      <c r="E1229" s="58" t="str">
        <f t="shared" si="19"/>
        <v>A</v>
      </c>
    </row>
    <row r="1230" spans="1:5" x14ac:dyDescent="0.3">
      <c r="A1230" s="53" t="s">
        <v>1826</v>
      </c>
      <c r="B1230" s="41" t="s">
        <v>149</v>
      </c>
      <c r="C1230" s="41" t="s">
        <v>150</v>
      </c>
      <c r="D1230" s="48">
        <v>28</v>
      </c>
      <c r="E1230" s="58" t="str">
        <f t="shared" si="19"/>
        <v>A</v>
      </c>
    </row>
    <row r="1231" spans="1:5" x14ac:dyDescent="0.3">
      <c r="A1231" s="53" t="s">
        <v>1827</v>
      </c>
      <c r="B1231" s="41" t="s">
        <v>151</v>
      </c>
      <c r="C1231" s="41" t="s">
        <v>152</v>
      </c>
      <c r="D1231" s="48">
        <v>88</v>
      </c>
      <c r="E1231" s="58" t="str">
        <f t="shared" si="19"/>
        <v>A</v>
      </c>
    </row>
    <row r="1232" spans="1:5" x14ac:dyDescent="0.3">
      <c r="A1232" s="53" t="s">
        <v>1828</v>
      </c>
      <c r="B1232" s="41" t="s">
        <v>153</v>
      </c>
      <c r="C1232" s="41" t="s">
        <v>154</v>
      </c>
      <c r="D1232" s="48">
        <v>6</v>
      </c>
      <c r="E1232" s="58" t="str">
        <f t="shared" si="19"/>
        <v>A</v>
      </c>
    </row>
    <row r="1233" spans="1:5" x14ac:dyDescent="0.3">
      <c r="A1233" s="53" t="s">
        <v>1829</v>
      </c>
      <c r="B1233" s="41" t="s">
        <v>155</v>
      </c>
      <c r="C1233" s="41" t="s">
        <v>156</v>
      </c>
      <c r="D1233" s="48">
        <v>2</v>
      </c>
      <c r="E1233" s="58" t="str">
        <f t="shared" si="19"/>
        <v>A</v>
      </c>
    </row>
    <row r="1234" spans="1:5" x14ac:dyDescent="0.3">
      <c r="A1234" s="53" t="s">
        <v>1830</v>
      </c>
      <c r="B1234" s="41" t="s">
        <v>157</v>
      </c>
      <c r="C1234" s="41" t="s">
        <v>158</v>
      </c>
      <c r="D1234" s="48">
        <v>3</v>
      </c>
      <c r="E1234" s="58" t="str">
        <f t="shared" si="19"/>
        <v>A</v>
      </c>
    </row>
    <row r="1235" spans="1:5" x14ac:dyDescent="0.3">
      <c r="A1235" s="53" t="s">
        <v>1831</v>
      </c>
      <c r="B1235" s="41" t="s">
        <v>159</v>
      </c>
      <c r="C1235" s="41" t="s">
        <v>160</v>
      </c>
      <c r="D1235" s="48">
        <v>33</v>
      </c>
      <c r="E1235" s="58" t="str">
        <f t="shared" si="19"/>
        <v>A</v>
      </c>
    </row>
    <row r="1236" spans="1:5" x14ac:dyDescent="0.3">
      <c r="A1236" s="53" t="s">
        <v>1832</v>
      </c>
      <c r="B1236" s="41" t="s">
        <v>161</v>
      </c>
      <c r="C1236" s="41" t="s">
        <v>162</v>
      </c>
      <c r="D1236" s="48">
        <v>28</v>
      </c>
      <c r="E1236" s="58" t="str">
        <f t="shared" si="19"/>
        <v>A</v>
      </c>
    </row>
    <row r="1237" spans="1:5" x14ac:dyDescent="0.3">
      <c r="A1237" s="53" t="s">
        <v>1833</v>
      </c>
      <c r="B1237" s="41" t="s">
        <v>163</v>
      </c>
      <c r="C1237" s="41" t="s">
        <v>164</v>
      </c>
      <c r="D1237" s="48">
        <v>44</v>
      </c>
      <c r="E1237" s="58" t="str">
        <f t="shared" si="19"/>
        <v>A</v>
      </c>
    </row>
    <row r="1238" spans="1:5" x14ac:dyDescent="0.3">
      <c r="A1238" s="53" t="s">
        <v>1834</v>
      </c>
      <c r="B1238" s="41" t="s">
        <v>165</v>
      </c>
      <c r="C1238" s="41" t="s">
        <v>166</v>
      </c>
      <c r="D1238" s="48">
        <v>44</v>
      </c>
      <c r="E1238" s="58" t="str">
        <f t="shared" si="19"/>
        <v>A</v>
      </c>
    </row>
    <row r="1239" spans="1:5" x14ac:dyDescent="0.3">
      <c r="A1239" s="53" t="s">
        <v>1835</v>
      </c>
      <c r="B1239" s="41" t="s">
        <v>167</v>
      </c>
      <c r="C1239" s="41" t="s">
        <v>168</v>
      </c>
      <c r="D1239" s="48">
        <v>50</v>
      </c>
      <c r="E1239" s="58" t="str">
        <f t="shared" si="19"/>
        <v>A</v>
      </c>
    </row>
    <row r="1240" spans="1:5" x14ac:dyDescent="0.3">
      <c r="A1240" s="53" t="s">
        <v>1836</v>
      </c>
      <c r="B1240" s="41" t="s">
        <v>169</v>
      </c>
      <c r="C1240" s="41" t="s">
        <v>170</v>
      </c>
      <c r="D1240" s="48">
        <v>44</v>
      </c>
      <c r="E1240" s="58" t="str">
        <f t="shared" si="19"/>
        <v>A</v>
      </c>
    </row>
    <row r="1241" spans="1:5" x14ac:dyDescent="0.3">
      <c r="A1241" s="53" t="s">
        <v>1837</v>
      </c>
      <c r="B1241" s="41" t="s">
        <v>0</v>
      </c>
      <c r="C1241" s="41" t="s">
        <v>1</v>
      </c>
      <c r="D1241" s="48">
        <v>94</v>
      </c>
      <c r="E1241" s="58" t="str">
        <f t="shared" si="19"/>
        <v>A</v>
      </c>
    </row>
    <row r="1242" spans="1:5" x14ac:dyDescent="0.3">
      <c r="A1242" s="53" t="s">
        <v>1838</v>
      </c>
      <c r="B1242" s="41" t="s">
        <v>2</v>
      </c>
      <c r="C1242" s="41" t="s">
        <v>3</v>
      </c>
      <c r="D1242" s="48">
        <v>99</v>
      </c>
      <c r="E1242" s="58" t="str">
        <f t="shared" si="19"/>
        <v>A</v>
      </c>
    </row>
    <row r="1243" spans="1:5" x14ac:dyDescent="0.3">
      <c r="A1243" s="54" t="s">
        <v>1839</v>
      </c>
      <c r="B1243" s="33" t="s">
        <v>2221</v>
      </c>
      <c r="C1243" s="32" t="s">
        <v>2221</v>
      </c>
      <c r="D1243" s="48">
        <v>549</v>
      </c>
      <c r="E1243" s="58" t="str">
        <f t="shared" si="19"/>
        <v>A</v>
      </c>
    </row>
    <row r="1244" spans="1:5" x14ac:dyDescent="0.3">
      <c r="A1244" s="54" t="s">
        <v>1840</v>
      </c>
      <c r="B1244" s="33" t="s">
        <v>2222</v>
      </c>
      <c r="C1244" s="32" t="s">
        <v>2222</v>
      </c>
      <c r="D1244" s="48">
        <v>549</v>
      </c>
      <c r="E1244" s="58" t="str">
        <f t="shared" si="19"/>
        <v>A</v>
      </c>
    </row>
    <row r="1245" spans="1:5" x14ac:dyDescent="0.3">
      <c r="A1245" s="54" t="s">
        <v>1841</v>
      </c>
      <c r="B1245" s="33" t="s">
        <v>2222</v>
      </c>
      <c r="C1245" s="32" t="s">
        <v>2222</v>
      </c>
      <c r="D1245" s="48">
        <v>549</v>
      </c>
      <c r="E1245" s="58" t="str">
        <f t="shared" si="19"/>
        <v>A</v>
      </c>
    </row>
    <row r="1246" spans="1:5" x14ac:dyDescent="0.3">
      <c r="A1246" s="53" t="s">
        <v>1842</v>
      </c>
      <c r="B1246" s="41" t="s">
        <v>2307</v>
      </c>
      <c r="C1246" s="41" t="s">
        <v>4</v>
      </c>
      <c r="D1246" s="48">
        <v>1645</v>
      </c>
      <c r="E1246" s="58" t="str">
        <f t="shared" si="19"/>
        <v>B</v>
      </c>
    </row>
    <row r="1247" spans="1:5" x14ac:dyDescent="0.3">
      <c r="A1247" s="53" t="s">
        <v>1843</v>
      </c>
      <c r="B1247" s="41" t="s">
        <v>2223</v>
      </c>
      <c r="C1247" s="41" t="s">
        <v>5</v>
      </c>
      <c r="D1247" s="48">
        <v>3295</v>
      </c>
      <c r="E1247" s="58" t="str">
        <f>VLOOKUP(D1247,$G$4:$H$7,2)</f>
        <v>B</v>
      </c>
    </row>
    <row r="1248" spans="1:5" x14ac:dyDescent="0.3">
      <c r="A1248" s="53" t="s">
        <v>1844</v>
      </c>
      <c r="B1248" s="41" t="s">
        <v>2308</v>
      </c>
      <c r="C1248" s="41" t="s">
        <v>2224</v>
      </c>
      <c r="D1248" s="48">
        <v>7195</v>
      </c>
      <c r="E1248" s="58" t="str">
        <f t="shared" si="19"/>
        <v>B</v>
      </c>
    </row>
    <row r="1249" spans="1:5" x14ac:dyDescent="0.3">
      <c r="A1249" s="53" t="s">
        <v>1845</v>
      </c>
      <c r="B1249" s="41" t="s">
        <v>2225</v>
      </c>
      <c r="C1249" s="41" t="s">
        <v>6</v>
      </c>
      <c r="D1249" s="48">
        <v>8795</v>
      </c>
      <c r="E1249" s="58" t="str">
        <f t="shared" si="19"/>
        <v>B</v>
      </c>
    </row>
    <row r="1250" spans="1:5" x14ac:dyDescent="0.3">
      <c r="A1250" s="53" t="s">
        <v>1846</v>
      </c>
      <c r="B1250" s="41" t="s">
        <v>2226</v>
      </c>
      <c r="C1250" s="41" t="s">
        <v>7</v>
      </c>
      <c r="D1250" s="48">
        <v>3295</v>
      </c>
      <c r="E1250" s="58" t="str">
        <f t="shared" si="19"/>
        <v>B</v>
      </c>
    </row>
    <row r="1251" spans="1:5" x14ac:dyDescent="0.3">
      <c r="A1251" s="53" t="s">
        <v>1847</v>
      </c>
      <c r="B1251" s="41" t="s">
        <v>2227</v>
      </c>
      <c r="C1251" s="41" t="s">
        <v>8</v>
      </c>
      <c r="D1251" s="48">
        <v>3295</v>
      </c>
      <c r="E1251" s="58" t="str">
        <f t="shared" si="19"/>
        <v>B</v>
      </c>
    </row>
    <row r="1252" spans="1:5" x14ac:dyDescent="0.3">
      <c r="A1252" s="53" t="s">
        <v>1848</v>
      </c>
      <c r="B1252" s="41" t="s">
        <v>1981</v>
      </c>
      <c r="C1252" s="41" t="s">
        <v>9</v>
      </c>
      <c r="D1252" s="48">
        <v>55</v>
      </c>
      <c r="E1252" s="58" t="str">
        <f t="shared" si="19"/>
        <v>A</v>
      </c>
    </row>
    <row r="1253" spans="1:5" x14ac:dyDescent="0.3">
      <c r="A1253" s="53" t="s">
        <v>1849</v>
      </c>
      <c r="B1253" s="41" t="s">
        <v>2228</v>
      </c>
      <c r="C1253" s="41" t="s">
        <v>10</v>
      </c>
      <c r="D1253" s="48">
        <v>2195</v>
      </c>
      <c r="E1253" s="58" t="str">
        <f t="shared" si="19"/>
        <v>B</v>
      </c>
    </row>
    <row r="1254" spans="1:5" x14ac:dyDescent="0.3">
      <c r="A1254" s="64" t="s">
        <v>1850</v>
      </c>
      <c r="B1254" s="65" t="s">
        <v>11</v>
      </c>
      <c r="C1254" s="65" t="s">
        <v>12</v>
      </c>
      <c r="D1254" s="66">
        <v>275</v>
      </c>
      <c r="E1254" s="67" t="str">
        <f t="shared" si="19"/>
        <v>A</v>
      </c>
    </row>
  </sheetData>
  <phoneticPr fontId="0" type="noConversion"/>
  <pageMargins left="0.75" right="0.75" top="1" bottom="1" header="0.5" footer="0.5"/>
  <pageSetup orientation="portrait" horizontalDpi="75" verticalDpi="75" r:id="rId1"/>
  <headerFooter alignWithMargins="0"/>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2"/>
  <sheetViews>
    <sheetView zoomScale="150" zoomScaleNormal="150" workbookViewId="0">
      <selection activeCell="C6" sqref="C6"/>
    </sheetView>
  </sheetViews>
  <sheetFormatPr defaultColWidth="8.88671875" defaultRowHeight="13.8" x14ac:dyDescent="0.3"/>
  <cols>
    <col min="1" max="1" width="5.109375" style="1" customWidth="1"/>
    <col min="2" max="2" width="8.88671875" style="3"/>
    <col min="3" max="16384" width="8.88671875" style="1"/>
  </cols>
  <sheetData>
    <row r="1" spans="1:6" ht="23.4" x14ac:dyDescent="0.45">
      <c r="A1" s="34" t="s">
        <v>2374</v>
      </c>
      <c r="B1" s="1"/>
      <c r="D1" s="30"/>
    </row>
    <row r="2" spans="1:6" x14ac:dyDescent="0.3">
      <c r="B2" s="1"/>
    </row>
    <row r="3" spans="1:6" s="7" customFormat="1" ht="19.5" customHeight="1" x14ac:dyDescent="0.25">
      <c r="A3" s="35"/>
      <c r="B3" s="36"/>
      <c r="C3" s="72" t="s">
        <v>2373</v>
      </c>
      <c r="D3" s="72"/>
      <c r="E3" s="72"/>
      <c r="F3" s="72"/>
    </row>
    <row r="4" spans="1:6" s="7" customFormat="1" ht="19.5" customHeight="1" x14ac:dyDescent="0.25">
      <c r="A4" s="73" t="s">
        <v>599</v>
      </c>
      <c r="B4" s="37"/>
      <c r="C4" s="37" t="s">
        <v>2369</v>
      </c>
      <c r="D4" s="37" t="s">
        <v>2370</v>
      </c>
      <c r="E4" s="37" t="s">
        <v>2371</v>
      </c>
      <c r="F4" s="37" t="s">
        <v>2372</v>
      </c>
    </row>
    <row r="5" spans="1:6" s="7" customFormat="1" ht="19.5" customHeight="1" x14ac:dyDescent="0.25">
      <c r="A5" s="73"/>
      <c r="B5" s="37" t="s">
        <v>496</v>
      </c>
      <c r="C5" s="38">
        <v>3.5000000000000003E-2</v>
      </c>
      <c r="D5" s="38">
        <v>5.5E-2</v>
      </c>
      <c r="E5" s="38">
        <v>7.4999999999999997E-2</v>
      </c>
      <c r="F5" s="38">
        <v>9.5000000000000001E-2</v>
      </c>
    </row>
    <row r="6" spans="1:6" s="7" customFormat="1" ht="19.5" customHeight="1" x14ac:dyDescent="0.25">
      <c r="A6" s="73"/>
      <c r="B6" s="37" t="s">
        <v>508</v>
      </c>
      <c r="C6" s="38">
        <v>4.4999999999999998E-2</v>
      </c>
      <c r="D6" s="38">
        <v>6.5000000000000002E-2</v>
      </c>
      <c r="E6" s="38">
        <v>8.5000000000000006E-2</v>
      </c>
      <c r="F6" s="38">
        <v>0.10500000000000001</v>
      </c>
    </row>
    <row r="7" spans="1:6" s="7" customFormat="1" ht="19.5" customHeight="1" x14ac:dyDescent="0.25">
      <c r="A7" s="73"/>
      <c r="B7" s="37" t="s">
        <v>498</v>
      </c>
      <c r="C7" s="38">
        <v>5.5E-2</v>
      </c>
      <c r="D7" s="38">
        <v>7.4999999999999997E-2</v>
      </c>
      <c r="E7" s="38">
        <v>9.5000000000000001E-2</v>
      </c>
      <c r="F7" s="38">
        <v>0.115</v>
      </c>
    </row>
    <row r="8" spans="1:6" s="7" customFormat="1" ht="19.5" customHeight="1" x14ac:dyDescent="0.25">
      <c r="A8" s="73"/>
      <c r="B8" s="37" t="s">
        <v>600</v>
      </c>
      <c r="C8" s="38">
        <v>6.5000000000000002E-2</v>
      </c>
      <c r="D8" s="38">
        <v>8.5000000000000006E-2</v>
      </c>
      <c r="E8" s="38">
        <v>0.10500000000000001</v>
      </c>
      <c r="F8" s="38">
        <v>0.125</v>
      </c>
    </row>
    <row r="10" spans="1:6" x14ac:dyDescent="0.3">
      <c r="C10" s="44" t="s">
        <v>2382</v>
      </c>
      <c r="D10" s="44" t="s">
        <v>2383</v>
      </c>
      <c r="E10" s="46" t="s">
        <v>2362</v>
      </c>
    </row>
    <row r="11" spans="1:6" x14ac:dyDescent="0.3">
      <c r="C11" s="3" t="s">
        <v>498</v>
      </c>
      <c r="D11" s="45" t="s">
        <v>2371</v>
      </c>
      <c r="E11" s="39">
        <f>INDEX(Discounts,MATCH(C11,Discount_Categories,0),MATCH(D11,Customer_Categories,0))</f>
        <v>9.5000000000000001E-2</v>
      </c>
    </row>
    <row r="12" spans="1:6" x14ac:dyDescent="0.3">
      <c r="D12" s="39"/>
    </row>
  </sheetData>
  <mergeCells count="2">
    <mergeCell ref="C3:F3"/>
    <mergeCell ref="A4:A8"/>
  </mergeCells>
  <dataValidations count="2">
    <dataValidation type="list" allowBlank="1" showInputMessage="1" showErrorMessage="1" sqref="C11" xr:uid="{00000000-0002-0000-0200-000000000000}">
      <formula1>Discount_Categories</formula1>
    </dataValidation>
    <dataValidation type="list" allowBlank="1" showInputMessage="1" showErrorMessage="1" sqref="D11" xr:uid="{00000000-0002-0000-0200-000001000000}">
      <formula1>Customer_Categories</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Customer Quote</vt:lpstr>
      <vt:lpstr>International Price List</vt:lpstr>
      <vt:lpstr>Discount Matrix</vt:lpstr>
      <vt:lpstr>Customer_Categories</vt:lpstr>
      <vt:lpstr>Discount_Categories</vt:lpstr>
      <vt:lpstr>Discounts</vt:lpstr>
      <vt:lpstr>Item_Code</vt:lpstr>
      <vt:lpstr>Quote</vt:lpstr>
    </vt:vector>
  </TitlesOfParts>
  <Company>Foundry Networks,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 Davis</dc:creator>
  <cp:lastModifiedBy>Trisha Gupta</cp:lastModifiedBy>
  <dcterms:created xsi:type="dcterms:W3CDTF">2006-11-03T19:50:03Z</dcterms:created>
  <dcterms:modified xsi:type="dcterms:W3CDTF">2026-02-25T06:24:57Z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-1535248582</vt:i4>
  </property>
  <property fmtid="{D5CDD505-2E9C-101B-9397-08002B2CF9AE}" pid="3" name="_EmailSubject">
    <vt:lpwstr>Pricing Advisory: New Price Lists and Quote Tools</vt:lpwstr>
  </property>
  <property fmtid="{D5CDD505-2E9C-101B-9397-08002B2CF9AE}" pid="4" name="_AuthorEmail">
    <vt:lpwstr>mdavis@foundrynet.com</vt:lpwstr>
  </property>
  <property fmtid="{D5CDD505-2E9C-101B-9397-08002B2CF9AE}" pid="5" name="_AuthorEmailDisplayName">
    <vt:lpwstr>Matt Davis</vt:lpwstr>
  </property>
  <property fmtid="{D5CDD505-2E9C-101B-9397-08002B2CF9AE}" pid="6" name="_ReviewingToolsShownOnce">
    <vt:lpwstr/>
  </property>
</Properties>
</file>